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romero\Desktop\Documentacion\DOCKER\"/>
    </mc:Choice>
  </mc:AlternateContent>
  <xr:revisionPtr revIDLastSave="0" documentId="13_ncr:1_{AA03016D-E2B9-4F74-9CC3-DC4636C318D4}" xr6:coauthVersionLast="47" xr6:coauthVersionMax="47" xr10:uidLastSave="{00000000-0000-0000-0000-000000000000}"/>
  <bookViews>
    <workbookView xWindow="28680" yWindow="-900" windowWidth="29040" windowHeight="1584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1" hidden="1">Hoja1!$A$1:$F$148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2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</calcChain>
</file>

<file path=xl/sharedStrings.xml><?xml version="1.0" encoding="utf-8"?>
<sst xmlns="http://schemas.openxmlformats.org/spreadsheetml/2006/main" count="791" uniqueCount="518">
  <si>
    <t>Tool</t>
  </si>
  <si>
    <t>Category</t>
  </si>
  <si>
    <t>Subcategory</t>
  </si>
  <si>
    <t>Version</t>
  </si>
  <si>
    <t>Base Image</t>
  </si>
  <si>
    <t>Description</t>
  </si>
  <si>
    <t>Entry point</t>
  </si>
  <si>
    <t>Documentation</t>
  </si>
  <si>
    <t>fastp</t>
  </si>
  <si>
    <t>cutadapt</t>
  </si>
  <si>
    <t>trimmomatic</t>
  </si>
  <si>
    <t>SortMeRNA</t>
  </si>
  <si>
    <t>RiboDetector</t>
  </si>
  <si>
    <t>fastq-join</t>
  </si>
  <si>
    <t>PandaSeq</t>
  </si>
  <si>
    <t>trimming</t>
  </si>
  <si>
    <t>rRNA-filtering</t>
  </si>
  <si>
    <t>read-merging</t>
  </si>
  <si>
    <t>0.24.0</t>
  </si>
  <si>
    <t>4.3.7</t>
  </si>
  <si>
    <t>0.3.1</t>
  </si>
  <si>
    <t>1.3.1</t>
  </si>
  <si>
    <t>ubuntu:22.04</t>
  </si>
  <si>
    <t>openjdk:11-jre-slim</t>
  </si>
  <si>
    <t>python:3.8-slim</t>
  </si>
  <si>
    <t>sortmerna</t>
  </si>
  <si>
    <t>ribodetector_cpu</t>
  </si>
  <si>
    <t>pandaseq</t>
  </si>
  <si>
    <t>https://github.com/OpenGene/fastp</t>
  </si>
  <si>
    <t>https://cutadapt.readthedocs.io</t>
  </si>
  <si>
    <t>http://www.usadellab.org/cms/?page=trimmomatic</t>
  </si>
  <si>
    <t>https://github.com/biocore/sortmerna</t>
  </si>
  <si>
    <t>https://github.com/hzi-bifo/RiboDetector</t>
  </si>
  <si>
    <t>https://github.com/brwnj/fastq-join</t>
  </si>
  <si>
    <t>https://github.com/neufeld/pandaseq</t>
  </si>
  <si>
    <t>trimmomatic.jar</t>
  </si>
  <si>
    <t>BBMap</t>
  </si>
  <si>
    <t>short-read</t>
  </si>
  <si>
    <t>https://sourceforge.net/projects/bbmap/</t>
  </si>
  <si>
    <t>general</t>
  </si>
  <si>
    <t>Bowtie2</t>
  </si>
  <si>
    <t>BWA</t>
  </si>
  <si>
    <t>bwa</t>
  </si>
  <si>
    <t>2.2.1</t>
  </si>
  <si>
    <t>bwa-mem2</t>
  </si>
  <si>
    <t>https://github.com/bwa-mem2/bwa-mem2</t>
  </si>
  <si>
    <t>1.2.4</t>
  </si>
  <si>
    <t>clustalo</t>
  </si>
  <si>
    <t>DIAMOND</t>
  </si>
  <si>
    <t>diamond</t>
  </si>
  <si>
    <t>https://github.com/bbuchfink/diamond</t>
  </si>
  <si>
    <t>http://research-pub.gene.com/gmap/</t>
  </si>
  <si>
    <t>HISAT2</t>
  </si>
  <si>
    <t>MAFFT</t>
  </si>
  <si>
    <t>mafft</t>
  </si>
  <si>
    <t>https://mafft.cbrc.jp/alignment/software/</t>
  </si>
  <si>
    <t>minimap2</t>
  </si>
  <si>
    <t>long-read</t>
  </si>
  <si>
    <t>https://github.com/lh3/minimap2</t>
  </si>
  <si>
    <t>MMseqs2</t>
  </si>
  <si>
    <t>mmseqs</t>
  </si>
  <si>
    <t>https://github.com/soedinglab/MMseqs2</t>
  </si>
  <si>
    <t>Mosaik</t>
  </si>
  <si>
    <t>2.2.30</t>
  </si>
  <si>
    <t>https://github.com/wanpinglee/MOSAIK</t>
  </si>
  <si>
    <t>3.8.1551</t>
  </si>
  <si>
    <t>muscle</t>
  </si>
  <si>
    <t>https://github.com/rcedgar/muscle</t>
  </si>
  <si>
    <t>STAR</t>
  </si>
  <si>
    <t>https://github.com/alexdobin/STAR</t>
  </si>
  <si>
    <t>CMD: blastn</t>
  </si>
  <si>
    <t>CMD: bowtie2</t>
  </si>
  <si>
    <t>CMD: gmap</t>
  </si>
  <si>
    <t>CMD: mafft</t>
  </si>
  <si>
    <t>CMD: MosaikAligner</t>
  </si>
  <si>
    <t>2.16.0</t>
  </si>
  <si>
    <t>2.5.4</t>
  </si>
  <si>
    <t>0.7.19</t>
  </si>
  <si>
    <t>2.1.11</t>
  </si>
  <si>
    <t>2025-04-18</t>
  </si>
  <si>
    <t>17-b804f</t>
  </si>
  <si>
    <t>2.7.11b</t>
  </si>
  <si>
    <t>CMD: hisat2</t>
  </si>
  <si>
    <t>BWA-MEM2</t>
  </si>
  <si>
    <t>msa</t>
  </si>
  <si>
    <t>rna-aligner</t>
  </si>
  <si>
    <t>https://github.com/alexdobin/STAR, https://github.com/samtools/samtools, https://github.com/samtools/bcftools</t>
  </si>
  <si>
    <t>GATK</t>
  </si>
  <si>
    <t>variant-calling</t>
  </si>
  <si>
    <t>https://github.com/samtools/bcftools</t>
  </si>
  <si>
    <t>bcftools</t>
  </si>
  <si>
    <t>4.6.2.0</t>
  </si>
  <si>
    <t>gatk</t>
  </si>
  <si>
    <t>1.3.6</t>
  </si>
  <si>
    <t>https://github.com/freebayes/freebayes</t>
  </si>
  <si>
    <t>python:3.11-slim</t>
  </si>
  <si>
    <t>featureCounts</t>
  </si>
  <si>
    <t>quantification</t>
  </si>
  <si>
    <t>2.1.1</t>
  </si>
  <si>
    <t>htseq-count</t>
  </si>
  <si>
    <t>https://htseq.readthedocs.io/en/master/</t>
  </si>
  <si>
    <t>https://subread.sourceforge.net</t>
  </si>
  <si>
    <t>kallisto</t>
  </si>
  <si>
    <t>salmon</t>
  </si>
  <si>
    <t>R-analysis</t>
  </si>
  <si>
    <t>https://pachterlab.github.io/kallisto</t>
  </si>
  <si>
    <t>https://github.com/COMBINE-lab/salmon</t>
  </si>
  <si>
    <t>https://bioconductor.org/packages/3.21/, https://bioconductor.org/packages/release/bioc/html/DESeq2.html, https://bioconductor.org/packages/release/bioc/html/edgeR.html, https://www.bioconductor.org/packages/release/bioc/html/limma.html</t>
  </si>
  <si>
    <t>CMD: Rscript</t>
  </si>
  <si>
    <t>DESeq2, edgeR and limma - Differential expression analysis tools in R (Bioconductor)</t>
  </si>
  <si>
    <t>4.5.0</t>
  </si>
  <si>
    <t>differential-analysis</t>
  </si>
  <si>
    <t>FastQC</t>
  </si>
  <si>
    <t>samtools</t>
  </si>
  <si>
    <t>Qualimap</t>
  </si>
  <si>
    <t>RSeQC</t>
  </si>
  <si>
    <t>fastq</t>
  </si>
  <si>
    <t>alignment</t>
  </si>
  <si>
    <t>expression</t>
  </si>
  <si>
    <t>https://github.com/samtools/samtools</t>
  </si>
  <si>
    <t>fastqc</t>
  </si>
  <si>
    <t>multiqc</t>
  </si>
  <si>
    <t>qualimap</t>
  </si>
  <si>
    <t>https://www.bioinformatics.babraham.ac.uk/projects/fastqc/</t>
  </si>
  <si>
    <t>0.12.1</t>
  </si>
  <si>
    <t>https://multiqc.info</t>
  </si>
  <si>
    <t>http://qualimap.conesalab.org/</t>
  </si>
  <si>
    <t>5.0.1</t>
  </si>
  <si>
    <t>https://rseqc.sourceforge.net/</t>
  </si>
  <si>
    <t>A09_T_USAL_1.bam</t>
  </si>
  <si>
    <t>A10_POOLR_T_PESQ_1.bam</t>
  </si>
  <si>
    <t>A10_POOLS_T_PESQ_1.bam</t>
  </si>
  <si>
    <t>A10_T_USAL_1.bam</t>
  </si>
  <si>
    <t>ALTA_MS_T_PESQ_1.bam</t>
  </si>
  <si>
    <t>ALTA_MS_T_PESQ_2.bam</t>
  </si>
  <si>
    <t>ALTA_MS_T_PESQ_3.bam</t>
  </si>
  <si>
    <t>ALTA_MS_T_PESQ_4.bam</t>
  </si>
  <si>
    <t>B03_BULBO_MJP1_T_PESQ_1.bam</t>
  </si>
  <si>
    <t>B03_BULBO_MT6_T_PESQ_1.bam</t>
  </si>
  <si>
    <t>B03_T_PESQ_1.bam</t>
  </si>
  <si>
    <t>B04_T_USAL_1.bam</t>
  </si>
  <si>
    <t>B07_T_USAL_1.bam</t>
  </si>
  <si>
    <t>B08_DURB_T_USAL_1.bam</t>
  </si>
  <si>
    <t>B08_FINB_T_USAL_1.bam</t>
  </si>
  <si>
    <t>B08_INIB_T_USAL_1.bam</t>
  </si>
  <si>
    <t>B08_T_PESQ_1.bam</t>
  </si>
  <si>
    <t>B08_T_USAL_1.bam</t>
  </si>
  <si>
    <t>B108_T_PESQ_1.bam</t>
  </si>
  <si>
    <t>B114_T_PESQ_1.bam</t>
  </si>
  <si>
    <t>B114_T_PESQ_2.bam</t>
  </si>
  <si>
    <t>B115_T_PESQ_1.bam</t>
  </si>
  <si>
    <t>B116_T_PESQ_1.bam</t>
  </si>
  <si>
    <t>B11_T_PESQ_1.bam</t>
  </si>
  <si>
    <t>B11_T_USAL_1.bam</t>
  </si>
  <si>
    <t>B12_T_USAL_1.bam</t>
  </si>
  <si>
    <t>B16_T_USAL_1.bam</t>
  </si>
  <si>
    <t>B63_T_PESQ_1.bam</t>
  </si>
  <si>
    <t>B65_T_PESQ_1.bam</t>
  </si>
  <si>
    <t>B87_AMARILLO_T_PESQ_1.bam</t>
  </si>
  <si>
    <t>B87_BLANCO_T_PESQ_1.bam</t>
  </si>
  <si>
    <t>B87_ROSA_T_PESQ_1.bam</t>
  </si>
  <si>
    <t>B89_T_PESQ_1.bam</t>
  </si>
  <si>
    <t>B89_T_PESQ_2.bam</t>
  </si>
  <si>
    <t>BAJA_MS_T_PESQ_1.bam</t>
  </si>
  <si>
    <t>BAJA_MS_T_PESQ_2.bam</t>
  </si>
  <si>
    <t>BAJA_MS_T_PESQ_3.bam</t>
  </si>
  <si>
    <t>BAJA_MS_T_PESQ_4.bam</t>
  </si>
  <si>
    <t>BEJO_T_PESQ_1.bam</t>
  </si>
  <si>
    <t>BRIDEWHITE_T_PESQ_1.bam</t>
  </si>
  <si>
    <t>CAYETANA4_T_PESQ_1.bam</t>
  </si>
  <si>
    <t>CORTLAND_T_PESQ_1.bam</t>
  </si>
  <si>
    <t>D05_BULBO_MJP16_T_PESQ_1.bam</t>
  </si>
  <si>
    <t>D05_BULBO_MT16_T_PESQ_1.bam</t>
  </si>
  <si>
    <t>D05_BULBO_OR59_T_PESQ_1.bam</t>
  </si>
  <si>
    <t>D05_BULBO_T_PESQ_1.bam</t>
  </si>
  <si>
    <t>D05_INF_T_USAL_1.bam</t>
  </si>
  <si>
    <t>D05_T_PESQ_1.bam</t>
  </si>
  <si>
    <t>D05_T_USAL_1.bam</t>
  </si>
  <si>
    <t>EXPRESSION_T_PESQ_1.bam</t>
  </si>
  <si>
    <t>GUARDMAN_T_PESQ_1.bam</t>
  </si>
  <si>
    <t>HAVEY_T_PESQ_1.bam</t>
  </si>
  <si>
    <t>I06_MS16_T_PESQ_1.bam</t>
  </si>
  <si>
    <t>I06_MS17-22_T_PESQ_1.bam</t>
  </si>
  <si>
    <t>I06_MS23-24_T_PESQ_1.bam</t>
  </si>
  <si>
    <t>I06_MS25-26_T_PESQ_1.bam</t>
  </si>
  <si>
    <t>I06_MS27_T_PESQ_1.bam</t>
  </si>
  <si>
    <t>I06_MS_ALTA_T_PESQ_1.bam</t>
  </si>
  <si>
    <t>I06_MS_ALTA_T_PESQ_2.bam</t>
  </si>
  <si>
    <t>I06_MS_ALTA_T_PESQ_3.bam</t>
  </si>
  <si>
    <t>I06_MS_ALTA_T_PESQ_4.bam</t>
  </si>
  <si>
    <t>I06_MS_BAJA_T_PESQ_1.bam</t>
  </si>
  <si>
    <t>I06_MS_BAJA_T_PESQ_2.bam</t>
  </si>
  <si>
    <t>I06_MS_BAJA_T_PESQ_3.bam</t>
  </si>
  <si>
    <t>I06_MS_BAJA_T_PESQ_4.bam</t>
  </si>
  <si>
    <t>I06_MS_INTER_T_PESQ_1.bam</t>
  </si>
  <si>
    <t>I06_MS_INTER_T_PESQ_2.bam</t>
  </si>
  <si>
    <t>I06_POOLR_AND_T_PESQ_1.bam</t>
  </si>
  <si>
    <t>I06_POOLR_MT_T_PESQ_1.bam</t>
  </si>
  <si>
    <t>I06_POOLS_T_PESQ_1.bam</t>
  </si>
  <si>
    <t>I06_T_USAL_1.bam</t>
  </si>
  <si>
    <t>I18_T_USAL_1.bam</t>
  </si>
  <si>
    <t>I27_T_USAL_1.bam</t>
  </si>
  <si>
    <t>M02_BULBO_T_PESQ_1.bam</t>
  </si>
  <si>
    <t>M02_MS16_T_PESQ_1.bam</t>
  </si>
  <si>
    <t>M02_MS17-22_T_PESQ_1.bam</t>
  </si>
  <si>
    <t>M02_MS23-24_T_PESQ_1.bam</t>
  </si>
  <si>
    <t>M02_MS25-26_T_PESQ_1.bam</t>
  </si>
  <si>
    <t>M02_MS27_T_PESQ_1.bam</t>
  </si>
  <si>
    <t>M02_MS_ALTA_T_PESQ_1.bam</t>
  </si>
  <si>
    <t>M02_MS_ALTA_T_PESQ_2.bam</t>
  </si>
  <si>
    <t>M02_MS_ALTA_T_PESQ_3.bam</t>
  </si>
  <si>
    <t>M02_MS_ALTA_T_PESQ_4.bam</t>
  </si>
  <si>
    <t>M02_MS_BAJA_T_PESQ_1.bam</t>
  </si>
  <si>
    <t>M02_MS_BAJA_T_PESQ_2.bam</t>
  </si>
  <si>
    <t>M02_MS_BAJA_T_PESQ_3.bam</t>
  </si>
  <si>
    <t>M02_MS_BAJA_T_PESQ_4.bam</t>
  </si>
  <si>
    <t>M02_MS_INTER_T_PESQ_1.bam</t>
  </si>
  <si>
    <t>M02_MS_INTER_T_PESQ_2.bam</t>
  </si>
  <si>
    <t>M02_POOLR_T_PESQ_1.bam</t>
  </si>
  <si>
    <t>M02_POOLS_T_PESQ_1.bam</t>
  </si>
  <si>
    <t>M02_T_USAL_1.bam</t>
  </si>
  <si>
    <t>M100_BRA_T_USAL_1.bam</t>
  </si>
  <si>
    <t>M100_BRF_T_USAL_1.bam</t>
  </si>
  <si>
    <t>M100_BS_T_USAL_1.bam</t>
  </si>
  <si>
    <t>M100_MS20-21_T_PESQ_1.bam</t>
  </si>
  <si>
    <t>M100_MS8-12_T_PESQ_1.bam</t>
  </si>
  <si>
    <t>M100_POOLR_T_USAL_1.bam</t>
  </si>
  <si>
    <t>M100_POOLS_T_USAL_1.bam</t>
  </si>
  <si>
    <t>M100_T_USAL_1.bam</t>
  </si>
  <si>
    <t>M101_T_PESQ_1.bam</t>
  </si>
  <si>
    <t>M21_T_USAL_1.bam</t>
  </si>
  <si>
    <t>M29_T_USAL_1.bam</t>
  </si>
  <si>
    <t>M31_T_USAL_1.bam</t>
  </si>
  <si>
    <t>MJP1_INFECT_T_PESQ_1.bam</t>
  </si>
  <si>
    <t>MJP1_NOINFECT_T_PESQ_2.bam</t>
  </si>
  <si>
    <t>MT13_INFECT_T_PESQ_1.bam</t>
  </si>
  <si>
    <t>MT13_NOINFECT_T_PESQ_2.bam</t>
  </si>
  <si>
    <t>N01_T_PESQ_1.bam</t>
  </si>
  <si>
    <t>N01_T_USAL_1.bam</t>
  </si>
  <si>
    <t>OR22098_BULBO_T_PESQ_1.bam</t>
  </si>
  <si>
    <t>R142_T_PESQ_1.bam</t>
  </si>
  <si>
    <t>R142_T_PESQ_2.bam</t>
  </si>
  <si>
    <t>R198_T_PESQ_1.bam</t>
  </si>
  <si>
    <t>R201_T_PESQ_1.bam</t>
  </si>
  <si>
    <t>R204_T_PESQ_1.bam</t>
  </si>
  <si>
    <t>R212_T_PESQ_1.bam</t>
  </si>
  <si>
    <t>R217_T_PESQ_1.bam</t>
  </si>
  <si>
    <t>R28_T_USAL_1.bam</t>
  </si>
  <si>
    <t>R74_DURB_T_USAL_1.bam</t>
  </si>
  <si>
    <t>R74_FINB_T_USAL_1.bam</t>
  </si>
  <si>
    <t>R74_INIB_T_USAL_1.bam</t>
  </si>
  <si>
    <t>R96_T_PESQ_1.bam</t>
  </si>
  <si>
    <t>R97_T_USAL_1.bam</t>
  </si>
  <si>
    <t>REDROCK_T_PESQ_1.bam</t>
  </si>
  <si>
    <t>RR1027_MS10-13_T_PESQ_1.bam</t>
  </si>
  <si>
    <t>RR1027_MS17_T_PESQ_1.bam</t>
  </si>
  <si>
    <t>RR1027_MS22-23_T_PESQ_1.bam</t>
  </si>
  <si>
    <t>RR1028_T_PESQ_1.bam</t>
  </si>
  <si>
    <t>RR3313_ROJO_T_PESQ_1.bam</t>
  </si>
  <si>
    <t>RR3320_BLANCO_T_PESQ_1.bam</t>
  </si>
  <si>
    <t>RR3330_AMARILLO_T_PESQ_1.bam</t>
  </si>
  <si>
    <t>S72_BULBO_T_PESQ_1.bam</t>
  </si>
  <si>
    <t>S73_BULBO_T_PESQ_1.bam</t>
  </si>
  <si>
    <t>S74_BULBO_T_PESQ_1.bam</t>
  </si>
  <si>
    <t>S75_BULBO_T_PESQ_1.bam</t>
  </si>
  <si>
    <t>SCOUT_T_PESQ_1.bam</t>
  </si>
  <si>
    <t>SEDONA_T_PESQ_1.bam</t>
  </si>
  <si>
    <t>VIRGIN_T_PESQ_1.bam</t>
  </si>
  <si>
    <t>WHITECASTLE_T_PESQ_1.bam</t>
  </si>
  <si>
    <t>Prioridad</t>
  </si>
  <si>
    <t>BAM</t>
  </si>
  <si>
    <t>Comando VCF</t>
  </si>
  <si>
    <t>Comando STAR</t>
  </si>
  <si>
    <t>Carpeta</t>
  </si>
  <si>
    <t>A10_Villanueva</t>
  </si>
  <si>
    <t>I06_Pesquero</t>
  </si>
  <si>
    <t>M02_AgroSur</t>
  </si>
  <si>
    <t>M100_Santero_AgroSur</t>
  </si>
  <si>
    <t>B03_AgroPrecozT3</t>
  </si>
  <si>
    <t>MA35_INFECT_T_PESQ_1.bam</t>
  </si>
  <si>
    <t>MA35_NOINFECT_T_PESQ_2.bam</t>
  </si>
  <si>
    <t>B114_Talarrubias_AgroPrecozT3</t>
  </si>
  <si>
    <t>R217_Innovador</t>
  </si>
  <si>
    <t>R174_S73</t>
  </si>
  <si>
    <t>Comando samtools</t>
  </si>
  <si>
    <t>D05_Temprana</t>
  </si>
  <si>
    <t>RR1027_R123_M100</t>
  </si>
  <si>
    <t>R173_S72</t>
  </si>
  <si>
    <t>R175_S74</t>
  </si>
  <si>
    <t>R176_S75</t>
  </si>
  <si>
    <t>R212_Yankee</t>
  </si>
  <si>
    <t>XX_FUSARIUM_RESIST</t>
  </si>
  <si>
    <t>XX_GUARDMAN</t>
  </si>
  <si>
    <t>XX_HAVEY</t>
  </si>
  <si>
    <t>R198_SierraBlanca</t>
  </si>
  <si>
    <t>R201_Frontier</t>
  </si>
  <si>
    <t>R204_Talon</t>
  </si>
  <si>
    <t>R28_ARoylei</t>
  </si>
  <si>
    <t>B08_Talarrubias</t>
  </si>
  <si>
    <t>B87_LaHaba_Temprana</t>
  </si>
  <si>
    <t>R74_FuentesDelEbro</t>
  </si>
  <si>
    <t>RR33XX_Bulbo_Color</t>
  </si>
  <si>
    <t>A09_LaHaba</t>
  </si>
  <si>
    <t>B04_AgroPrecozT2</t>
  </si>
  <si>
    <t>B07_T_PESQ_1.bam</t>
  </si>
  <si>
    <t>B07_Esparragosa</t>
  </si>
  <si>
    <t>B108_LaHaba_AgroPrecozT3</t>
  </si>
  <si>
    <t>B115_Talarrubias_Temprana</t>
  </si>
  <si>
    <t>B116_Benquerencia_Temprana</t>
  </si>
  <si>
    <t>B11_LaCoronada</t>
  </si>
  <si>
    <t>B12_Campanario</t>
  </si>
  <si>
    <t>B16_Benquerencia</t>
  </si>
  <si>
    <t>B63_AgroPrecozT3_AgroPrecozT2</t>
  </si>
  <si>
    <t>B65_Benquerencia_AgroPrecozT3</t>
  </si>
  <si>
    <t>B89_LaCoronada_Temprana</t>
  </si>
  <si>
    <t>I18_LaNava</t>
  </si>
  <si>
    <t>I27_L31</t>
  </si>
  <si>
    <t>M101_Castuera_AgroSur</t>
  </si>
  <si>
    <t>M21_Castuera</t>
  </si>
  <si>
    <t>M29_Santero</t>
  </si>
  <si>
    <t>M31_Monterrubio</t>
  </si>
  <si>
    <t>N01_AgroNorte</t>
  </si>
  <si>
    <t>OR22098</t>
  </si>
  <si>
    <t>R142_Benquerencia_LaNava</t>
  </si>
  <si>
    <t>R96_Talarrubias_AgroSur</t>
  </si>
  <si>
    <t>R97_Benquerencia_AgroSur</t>
  </si>
  <si>
    <t>RR1028_Roylei_Villanueva</t>
  </si>
  <si>
    <t>rename 's/Aligned.sortedByCoord.out//' /home/soporte/BIOINFOR/ALIGNMENT/*bam</t>
  </si>
  <si>
    <t>R217_INFECT_T_PESQ_1.bam</t>
  </si>
  <si>
    <t>R217_NOINFECT_T_PESQ_2.bam</t>
  </si>
  <si>
    <t>S74_INFECT_T_PESQ_1.bam</t>
  </si>
  <si>
    <t>S74_NOINFECT_T_PESQ_1.bam</t>
  </si>
  <si>
    <t>preprocessing</t>
  </si>
  <si>
    <t>fastq-join - Joining paired-end reads with overlaps.</t>
  </si>
  <si>
    <t>RiboDetector (CPU-Mode) - Tool to detect and remove rRNA reads from metatranscriptomic data.</t>
  </si>
  <si>
    <t>PandaSeq - Tool for merging paired-end Illumina reads</t>
  </si>
  <si>
    <t>Fastp - All-in-one FASTQ preprocessor for quality control and trimming.</t>
  </si>
  <si>
    <t>SortMeRNA - rRNA filtering tool for metatranscriptomics and RNA-seq</t>
  </si>
  <si>
    <t>cutadapt - Adapter trimming tool for FASTQ files</t>
  </si>
  <si>
    <t>Trimmomatic - Flexible read trimming tool for Illumina NGS data.</t>
  </si>
  <si>
    <t>MEGAHIT</t>
  </si>
  <si>
    <t>assembly</t>
  </si>
  <si>
    <t>metagenome</t>
  </si>
  <si>
    <t>1.2.9</t>
  </si>
  <si>
    <t>MEGAHIT - Ultra-fast and memory-efficient assembler for NGS short reads</t>
  </si>
  <si>
    <t>https://github.com/voutcn/megahit</t>
  </si>
  <si>
    <t>Flye</t>
  </si>
  <si>
    <t>2.9.6</t>
  </si>
  <si>
    <t>Flye - Fast and accurate de novo assembler for long noisy reads</t>
  </si>
  <si>
    <t>https://github.com/mikolmogorov/Flye</t>
  </si>
  <si>
    <t>ABySS</t>
  </si>
  <si>
    <t>2.3.10</t>
  </si>
  <si>
    <t>ABySS - A de novo, parallel, paired-end sequence assembler for short reads</t>
  </si>
  <si>
    <t>https://github.com/bcgsc/abyss</t>
  </si>
  <si>
    <t>Redbean</t>
  </si>
  <si>
    <t>Redbean (wtdbg2) - Fast de novo assembler for long noisy reads</t>
  </si>
  <si>
    <t>https://github.com/ruanjue/wtdbg2</t>
  </si>
  <si>
    <t>Canu</t>
  </si>
  <si>
    <t>Canu 2.3 - Long-read assembler for PacBio and Oxford Nanopore reads</t>
  </si>
  <si>
    <t>https://github.com/marbl/canu</t>
  </si>
  <si>
    <t>Minia</t>
  </si>
  <si>
    <t>3.2.6</t>
  </si>
  <si>
    <t>Minia - Memory-efficient short-read genome assembler based on Bloom filters</t>
  </si>
  <si>
    <t>https://github.com/GATB/minia</t>
  </si>
  <si>
    <t>SPAdes</t>
  </si>
  <si>
    <t>4.2.0</t>
  </si>
  <si>
    <t>SPAdes - Genome assembler for single-cell, standard and metagenomic NGS data</t>
  </si>
  <si>
    <t>https://github.com/ablab/spades</t>
  </si>
  <si>
    <t>Raven</t>
  </si>
  <si>
    <t>1.8.3</t>
  </si>
  <si>
    <t>Raven - Fast and memory-efficient assembler for long error-prone reads</t>
  </si>
  <si>
    <t>https://github.com/lbcb-sci/raven</t>
  </si>
  <si>
    <t>Hifiasm</t>
  </si>
  <si>
    <t>0.25.0</t>
  </si>
  <si>
    <t>Hifiasm - Fast haplotype-resolved de novo assembler for PacBio HiFi reads</t>
  </si>
  <si>
    <t>https://github.com/chhylp123/hifiasm</t>
  </si>
  <si>
    <t>megahit</t>
  </si>
  <si>
    <t>flye</t>
  </si>
  <si>
    <t>abyss-pe</t>
  </si>
  <si>
    <t>CMD: wtdbg2</t>
  </si>
  <si>
    <t>canu</t>
  </si>
  <si>
    <t>minia</t>
  </si>
  <si>
    <t>spades.py</t>
  </si>
  <si>
    <t>raven</t>
  </si>
  <si>
    <t>hifiasm</t>
  </si>
  <si>
    <t>NextDenovo</t>
  </si>
  <si>
    <t>2.5.2</t>
  </si>
  <si>
    <t>NextDenovo - De novo assembler optimized for long noisy reads</t>
  </si>
  <si>
    <t>https://github.com/Nextomics/NextDenovo</t>
  </si>
  <si>
    <t>TACO</t>
  </si>
  <si>
    <t>transcriptome-merge</t>
  </si>
  <si>
    <t>0.7.3</t>
  </si>
  <si>
    <t>TACO - Transcriptome Aggregation and Construction (multi-sample transcriptome assembler)</t>
  </si>
  <si>
    <t>https://github.com/tacorna/taco</t>
  </si>
  <si>
    <t>Scallop</t>
  </si>
  <si>
    <t>transcriptome</t>
  </si>
  <si>
    <t>0.10.5</t>
  </si>
  <si>
    <t>Scallop - Reference-based transcript assembler using RNA-seq alignments</t>
  </si>
  <si>
    <t>https://github.com/Kingsford-Group/scallop</t>
  </si>
  <si>
    <t>Pilon</t>
  </si>
  <si>
    <t>polishing</t>
  </si>
  <si>
    <t>Pilon - Assembly polishing tool using short reads (Illumina)</t>
  </si>
  <si>
    <t>https://github.com/broadinstitute/pilon</t>
  </si>
  <si>
    <t>NextPolish</t>
  </si>
  <si>
    <t>1.4.1</t>
  </si>
  <si>
    <t>NextPolish - Genome polishing tool for hybrid or long/short reads</t>
  </si>
  <si>
    <t>https://github.com/Nextomics/NextPolish</t>
  </si>
  <si>
    <t>PolyPolish</t>
  </si>
  <si>
    <t>0.6.0</t>
  </si>
  <si>
    <t>rust:1.87.0-slim</t>
  </si>
  <si>
    <t>Polypolish - Illumina-based assembly polisher written in Rust</t>
  </si>
  <si>
    <t>https://github.com/rrwick/Polypolish</t>
  </si>
  <si>
    <t>Unicycler</t>
  </si>
  <si>
    <t>hybrid</t>
  </si>
  <si>
    <t>0.5.1</t>
  </si>
  <si>
    <t>Unicycler - Hybrid assembler with SPAdes, Racon and BLAST+</t>
  </si>
  <si>
    <t>https://github.com/rrwick/Unicycler</t>
  </si>
  <si>
    <t>StringTie</t>
  </si>
  <si>
    <t>3.0.0</t>
  </si>
  <si>
    <t>StringTie - Fast and highly efficient assembler of RNA-Seq alignments into potential transcripts</t>
  </si>
  <si>
    <t>https://github.com/gpertea/stringtie</t>
  </si>
  <si>
    <t>Trinity</t>
  </si>
  <si>
    <t>2.15.2</t>
  </si>
  <si>
    <t>Trinity - De novo and genome-guided RNA-Seq transcriptome assembler</t>
  </si>
  <si>
    <t>https://github.com/trinityrnaseq/trinityrnaseq</t>
  </si>
  <si>
    <t>HyPo</t>
  </si>
  <si>
    <t>1.0.3</t>
  </si>
  <si>
    <t>HyPo - Fast and accurate genome polishing tool using long and/or short reads</t>
  </si>
  <si>
    <t>https://github.com/kensung-lab/hypo</t>
  </si>
  <si>
    <t>Racon</t>
  </si>
  <si>
    <t>1.5.0</t>
  </si>
  <si>
    <t>Racon - Consensus module for raw de novo genome assembly of long uncorrected reads</t>
  </si>
  <si>
    <t>https://github.com/lbcb-sci/racon</t>
  </si>
  <si>
    <t>trans-ABySS</t>
  </si>
  <si>
    <t>2.0.1</t>
  </si>
  <si>
    <t>dromero93/abyss:latest</t>
  </si>
  <si>
    <t>Trans-ABySS - De novo transcriptome assembler pipeline based on ABySS</t>
  </si>
  <si>
    <t>https://github.com/bcgsc/transabyss</t>
  </si>
  <si>
    <t>MaSuRCA</t>
  </si>
  <si>
    <t>4.1.3</t>
  </si>
  <si>
    <t>MaSuRCA - Hybrid genome assembler combining Illumina and long reads</t>
  </si>
  <si>
    <t>https://github.com/alekseyzimin/masurca</t>
  </si>
  <si>
    <t>Medaka</t>
  </si>
  <si>
    <t>2.1.0</t>
  </si>
  <si>
    <t>Medaka - Neural network polishing for Oxford Nanopore assemblies</t>
  </si>
  <si>
    <t>https://github.com/nanoporetech/medaka</t>
  </si>
  <si>
    <t>nextDenovo</t>
  </si>
  <si>
    <t>taco_run</t>
  </si>
  <si>
    <t>scallop</t>
  </si>
  <si>
    <t>pilon.jar</t>
  </si>
  <si>
    <t>nextPolish</t>
  </si>
  <si>
    <t>aligners</t>
  </si>
  <si>
    <t>Mosaik - Sensitive and accurate aligner for both short and long reads</t>
  </si>
  <si>
    <t>BBMap - Ultra-fast, tolerant read aligner for short and long reads</t>
  </si>
  <si>
    <t>bbmap</t>
  </si>
  <si>
    <t>MMseqs2 - Fast and sensitive protein sequence search and clustering suite</t>
  </si>
  <si>
    <t>Minimap2 - Versatile fast aligner for long DNA or RNA reads</t>
  </si>
  <si>
    <t>BWA - Burrows-Wheeler Aligner for short read alignment</t>
  </si>
  <si>
    <t>https://github.com/lh3/bwa</t>
  </si>
  <si>
    <t>HISAT2_2.2.1_samtools_1.21_bcftools_1.21</t>
  </si>
  <si>
    <t>HISAT2 + samtools + bcftools - RNA-Seq aligner with variant calling utilities</t>
  </si>
  <si>
    <t>bash</t>
  </si>
  <si>
    <t>https://github.com/DaehwanKimLab/hisat2, https://github.com/samtools/samtools, https://github.com/samtools/bcftools</t>
  </si>
  <si>
    <t>HISAT2 - Fast and sensitive spliced aligner for RNA-Seq data</t>
  </si>
  <si>
    <t>https://github.com/DaehwanKimLab/hisat2</t>
  </si>
  <si>
    <t>STAR_2.7.11b_samtools_1.21_bcftools_1.21</t>
  </si>
  <si>
    <t>STAR + samtools + bcftools - RNA-Seq aligner with variant calling utilities</t>
  </si>
  <si>
    <t>STAR - Ultrafast spliced aligner for RNA-Seq data</t>
  </si>
  <si>
    <t>MAFFT - Multiple sequence alignment program based on fast Fourier transform</t>
  </si>
  <si>
    <t>GMAP_GSNAP</t>
  </si>
  <si>
    <t>GMAP - Genomic Mapping and Alignment Program for RNA-Seq long reads</t>
  </si>
  <si>
    <t>BLAST+</t>
  </si>
  <si>
    <t>NCBI BLAST+ - Toolkit for nucleotide and protein sequence alignments</t>
  </si>
  <si>
    <t>https://blast.ncbi.nlm.nih.gov/Blast.cgi</t>
  </si>
  <si>
    <t>MUSCLE</t>
  </si>
  <si>
    <t>MUSCLE - High-accuracy multiple sequence aligner for protein and nucleotide sequences</t>
  </si>
  <si>
    <t>https://drive5.com/muscle5/manual/</t>
  </si>
  <si>
    <t>Bowtie2 - Fast and sensitive gapped read aligner for short reads (Burrows-Wheeler Aligner)</t>
  </si>
  <si>
    <t>https://github.com/BenLangmead/bowtie2</t>
  </si>
  <si>
    <t>DIAMOND - Fast protein aligner for high-throughput sequencing data</t>
  </si>
  <si>
    <t>BWA-MEM2 - Fast reimplementation of BWA-MEM for short read alignment</t>
  </si>
  <si>
    <t>Clustal Omega - Fast and scalable multiple sequence alignment tool</t>
  </si>
  <si>
    <t>https://www.ebi.ac.uk/Tools/msa/clustalo/</t>
  </si>
  <si>
    <t>FreeBayes</t>
  </si>
  <si>
    <t>FreeBayes - Bayesian genetic variant detector for polymorphisms and complex events</t>
  </si>
  <si>
    <t>CMD: freebayes</t>
  </si>
  <si>
    <t>BCFtools - Variant analysis tool in VCF/BCF format</t>
  </si>
  <si>
    <t>openjdk:17-slim</t>
  </si>
  <si>
    <t>GATK - Toolkit for variant analysis developed by the Broad Institute</t>
  </si>
  <si>
    <t>https://github.com/broadinstitute/gatk</t>
  </si>
  <si>
    <t>HTSeq-count</t>
  </si>
  <si>
    <t>differential-expression</t>
  </si>
  <si>
    <t>2.0.9</t>
  </si>
  <si>
    <t>HTSeq-count - Python framework to count reads per gene from BAM/SAM files</t>
  </si>
  <si>
    <t>pseudoaligner</t>
  </si>
  <si>
    <t>1.10.3</t>
  </si>
  <si>
    <t>Salmon - Accurate transcript-level quantification from RNA-seq data</t>
  </si>
  <si>
    <t>diff-expression</t>
  </si>
  <si>
    <t>rocker/r-ver:4.5.0</t>
  </si>
  <si>
    <t>0.51.1</t>
  </si>
  <si>
    <t>kallisto - Pseudoalignment for RNA-seq quantification</t>
  </si>
  <si>
    <t>featureCounts - Read quantification tool from the Subread package</t>
  </si>
  <si>
    <t>polypolish</t>
  </si>
  <si>
    <t>unicycler</t>
  </si>
  <si>
    <t>stringtie</t>
  </si>
  <si>
    <t>hypo</t>
  </si>
  <si>
    <t>racon</t>
  </si>
  <si>
    <t>transabyss</t>
  </si>
  <si>
    <t>CMD: bash</t>
  </si>
  <si>
    <t>medaka_consensus</t>
  </si>
  <si>
    <t>Samtools - Toolkit for manipulation of SAM/BAM/CRAM files</t>
  </si>
  <si>
    <t>MultiQC</t>
  </si>
  <si>
    <t>quality-assessment</t>
  </si>
  <si>
    <t>MultiQC - Aggregate quality control reports across bioinformatics tools</t>
  </si>
  <si>
    <t>RSeQC - RNA-seq quality control toolkit for alignment-based QC metrics</t>
  </si>
  <si>
    <t>Qualimap - Quality control tool for alignment files (BAM/SAM)</t>
  </si>
  <si>
    <t>FASTQC - Quality control tool for FASTQ files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</si>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</sst>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1" applyFill="1" applyAlignment="1" applyProtection="1">
      <alignment horizontal="left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1" fillId="0" borderId="0" xfId="1" applyFont="1" applyFill="1" applyAlignment="1" applyProtection="1">
      <alignment horizontal="left"/>
    </xf>
    <xf numFmtId="0" fontId="0" fillId="0" borderId="0" xfId="0" applyNumberFormat="1" applyAlignment="1">
      <alignment horizontal="center"/>
    </xf>
    <xf numFmtId="0" fontId="0" fillId="0" borderId="0" xfId="0" quotePrefix="1" applyNumberFormat="1" applyAlignment="1">
      <alignment horizontal="center"/>
    </xf>
  </cellXfs>
  <cellStyles count="2">
    <cellStyle name="Hipervínculo" xfId="1" builtinId="8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2C33CC-3D89-4033-9FF5-9F695DEBE471}" name="Tabla1" displayName="Tabla1" ref="A1:H64" totalsRowShown="0" headerRowDxfId="9" dataDxfId="8">
  <autoFilter ref="A1:H64" xr:uid="{132C33CC-3D89-4033-9FF5-9F695DEBE471}"/>
  <sortState xmlns:xlrd2="http://schemas.microsoft.com/office/spreadsheetml/2017/richdata2" ref="A2:H64">
    <sortCondition ref="B2:B64"/>
    <sortCondition ref="C2:C64"/>
    <sortCondition ref="A2:A64"/>
  </sortState>
  <tableColumns count="8">
    <tableColumn id="1" xr3:uid="{4AAF89E4-8C5C-42B5-8A87-499AC7669CAE}" name="Tool" dataDxfId="7"/>
    <tableColumn id="2" xr3:uid="{7CEE36F9-BC1D-49AE-8A7C-2D86D8A9BDCD}" name="Category" dataDxfId="6"/>
    <tableColumn id="3" xr3:uid="{5FAC405D-2775-4652-9927-EDF51F7B2DE1}" name="Subcategory" dataDxfId="5"/>
    <tableColumn id="4" xr3:uid="{ACC6D511-AB6E-4B26-8750-6FD09B5AB2F5}" name="Version" dataDxfId="4"/>
    <tableColumn id="5" xr3:uid="{B6F27F7B-84AB-46B3-B841-C9919F9E2713}" name="Base Image" dataDxfId="3"/>
    <tableColumn id="6" xr3:uid="{6E110119-B42D-4FFA-B4ED-CB3753697DFC}" name="Description" dataDxfId="2"/>
    <tableColumn id="7" xr3:uid="{EB1373EA-89D7-4306-B838-9C0697FA2691}" name="Entry point" dataDxfId="1"/>
    <tableColumn id="8" xr3:uid="{4039F039-5EAA-427A-A27C-376E1CF7F39A}" name="Documentation" dataDxfId="0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opLeftCell="A34" workbookViewId="0">
      <selection activeCell="F54" sqref="F54"/>
    </sheetView>
  </sheetViews>
  <sheetFormatPr baseColWidth="10" defaultColWidth="9.140625" defaultRowHeight="15" x14ac:dyDescent="0.25"/>
  <cols>
    <col min="1" max="1" width="17.140625" customWidth="1"/>
    <col min="2" max="2" width="22.85546875" customWidth="1"/>
    <col min="3" max="3" width="21.42578125" customWidth="1"/>
    <col min="4" max="4" width="11.42578125" customWidth="1"/>
    <col min="5" max="5" width="21.42578125" customWidth="1"/>
    <col min="6" max="6" width="71.42578125" style="2" customWidth="1"/>
    <col min="7" max="7" width="21.42578125" customWidth="1"/>
    <col min="8" max="8" width="57.14062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471</v>
      </c>
      <c r="B2" s="3" t="s">
        <v>451</v>
      </c>
      <c r="C2" s="3" t="s">
        <v>39</v>
      </c>
      <c r="D2" s="3" t="s">
        <v>75</v>
      </c>
      <c r="E2" s="3" t="s">
        <v>22</v>
      </c>
      <c r="F2" s="2" t="s">
        <v>472</v>
      </c>
      <c r="G2" s="3" t="s">
        <v>70</v>
      </c>
      <c r="H2" s="5" t="s">
        <v>473</v>
      </c>
    </row>
    <row r="3" spans="1:8" x14ac:dyDescent="0.25">
      <c r="A3" s="3" t="s">
        <v>48</v>
      </c>
      <c r="B3" s="3" t="s">
        <v>451</v>
      </c>
      <c r="C3" s="3" t="s">
        <v>39</v>
      </c>
      <c r="D3" s="3" t="s">
        <v>78</v>
      </c>
      <c r="E3" s="3" t="s">
        <v>22</v>
      </c>
      <c r="F3" s="2" t="s">
        <v>479</v>
      </c>
      <c r="G3" s="3" t="s">
        <v>49</v>
      </c>
      <c r="H3" s="5" t="s">
        <v>50</v>
      </c>
    </row>
    <row r="4" spans="1:8" x14ac:dyDescent="0.25">
      <c r="A4" s="3" t="s">
        <v>59</v>
      </c>
      <c r="B4" s="3" t="s">
        <v>451</v>
      </c>
      <c r="C4" s="3" t="s">
        <v>39</v>
      </c>
      <c r="D4" s="3" t="s">
        <v>80</v>
      </c>
      <c r="E4" s="3" t="s">
        <v>22</v>
      </c>
      <c r="F4" s="2" t="s">
        <v>455</v>
      </c>
      <c r="G4" s="3" t="s">
        <v>60</v>
      </c>
      <c r="H4" s="5" t="s">
        <v>61</v>
      </c>
    </row>
    <row r="5" spans="1:8" x14ac:dyDescent="0.25">
      <c r="A5" s="3" t="s">
        <v>469</v>
      </c>
      <c r="B5" s="3" t="s">
        <v>451</v>
      </c>
      <c r="C5" s="3" t="s">
        <v>57</v>
      </c>
      <c r="D5" s="10" t="s">
        <v>79</v>
      </c>
      <c r="E5" s="3" t="s">
        <v>22</v>
      </c>
      <c r="F5" s="2" t="s">
        <v>470</v>
      </c>
      <c r="G5" s="3" t="s">
        <v>72</v>
      </c>
      <c r="H5" s="5" t="s">
        <v>51</v>
      </c>
    </row>
    <row r="6" spans="1:8" x14ac:dyDescent="0.25">
      <c r="A6" s="3" t="s">
        <v>56</v>
      </c>
      <c r="B6" s="3" t="s">
        <v>451</v>
      </c>
      <c r="C6" s="3" t="s">
        <v>57</v>
      </c>
      <c r="D6" s="3">
        <v>2.29</v>
      </c>
      <c r="E6" s="3" t="s">
        <v>22</v>
      </c>
      <c r="F6" s="2" t="s">
        <v>456</v>
      </c>
      <c r="G6" s="3" t="s">
        <v>56</v>
      </c>
      <c r="H6" s="5" t="s">
        <v>58</v>
      </c>
    </row>
    <row r="7" spans="1:8" x14ac:dyDescent="0.25">
      <c r="A7" s="3" t="s">
        <v>47</v>
      </c>
      <c r="B7" s="3" t="s">
        <v>451</v>
      </c>
      <c r="C7" s="3" t="s">
        <v>84</v>
      </c>
      <c r="D7" s="3" t="s">
        <v>46</v>
      </c>
      <c r="E7" s="3" t="s">
        <v>22</v>
      </c>
      <c r="F7" s="2" t="s">
        <v>481</v>
      </c>
      <c r="G7" s="3" t="s">
        <v>47</v>
      </c>
      <c r="H7" s="5" t="s">
        <v>482</v>
      </c>
    </row>
    <row r="8" spans="1:8" x14ac:dyDescent="0.25">
      <c r="A8" s="3" t="s">
        <v>53</v>
      </c>
      <c r="B8" s="3" t="s">
        <v>451</v>
      </c>
      <c r="C8" s="3" t="s">
        <v>84</v>
      </c>
      <c r="D8" s="3">
        <v>7.5250000000000004</v>
      </c>
      <c r="E8" s="3" t="s">
        <v>22</v>
      </c>
      <c r="F8" s="2" t="s">
        <v>468</v>
      </c>
      <c r="G8" s="3" t="s">
        <v>73</v>
      </c>
      <c r="H8" s="5" t="s">
        <v>55</v>
      </c>
    </row>
    <row r="9" spans="1:8" x14ac:dyDescent="0.25">
      <c r="A9" s="3" t="s">
        <v>53</v>
      </c>
      <c r="B9" s="3" t="s">
        <v>451</v>
      </c>
      <c r="C9" s="3" t="s">
        <v>84</v>
      </c>
      <c r="D9" s="9">
        <v>7.5250000000000004</v>
      </c>
      <c r="E9" s="3" t="s">
        <v>22</v>
      </c>
      <c r="F9" s="2" t="s">
        <v>468</v>
      </c>
      <c r="G9" s="3" t="s">
        <v>54</v>
      </c>
      <c r="H9" s="5" t="s">
        <v>55</v>
      </c>
    </row>
    <row r="10" spans="1:8" x14ac:dyDescent="0.25">
      <c r="A10" s="3" t="s">
        <v>474</v>
      </c>
      <c r="B10" s="3" t="s">
        <v>451</v>
      </c>
      <c r="C10" s="3" t="s">
        <v>84</v>
      </c>
      <c r="D10" s="3" t="s">
        <v>65</v>
      </c>
      <c r="E10" s="3" t="s">
        <v>22</v>
      </c>
      <c r="F10" s="2" t="s">
        <v>475</v>
      </c>
      <c r="G10" s="3" t="s">
        <v>66</v>
      </c>
      <c r="H10" s="5" t="s">
        <v>67</v>
      </c>
    </row>
    <row r="11" spans="1:8" x14ac:dyDescent="0.25">
      <c r="A11" s="3" t="s">
        <v>474</v>
      </c>
      <c r="B11" s="3" t="s">
        <v>451</v>
      </c>
      <c r="C11" s="3" t="s">
        <v>84</v>
      </c>
      <c r="D11" s="3">
        <v>5.3</v>
      </c>
      <c r="E11" s="3" t="s">
        <v>22</v>
      </c>
      <c r="F11" s="2" t="s">
        <v>475</v>
      </c>
      <c r="G11" s="3" t="s">
        <v>66</v>
      </c>
      <c r="H11" s="5" t="s">
        <v>476</v>
      </c>
    </row>
    <row r="12" spans="1:8" x14ac:dyDescent="0.25">
      <c r="A12" s="3" t="s">
        <v>52</v>
      </c>
      <c r="B12" s="3" t="s">
        <v>451</v>
      </c>
      <c r="C12" s="3" t="s">
        <v>85</v>
      </c>
      <c r="D12" s="3" t="s">
        <v>459</v>
      </c>
      <c r="E12" s="3" t="s">
        <v>22</v>
      </c>
      <c r="F12" s="2" t="s">
        <v>460</v>
      </c>
      <c r="G12" s="3" t="s">
        <v>461</v>
      </c>
      <c r="H12" s="5" t="s">
        <v>462</v>
      </c>
    </row>
    <row r="13" spans="1:8" x14ac:dyDescent="0.25">
      <c r="A13" s="3" t="s">
        <v>52</v>
      </c>
      <c r="B13" s="3" t="s">
        <v>451</v>
      </c>
      <c r="C13" s="3" t="s">
        <v>85</v>
      </c>
      <c r="D13" s="3" t="s">
        <v>43</v>
      </c>
      <c r="E13" s="3" t="s">
        <v>22</v>
      </c>
      <c r="F13" s="2" t="s">
        <v>463</v>
      </c>
      <c r="G13" s="3" t="s">
        <v>82</v>
      </c>
      <c r="H13" s="5" t="s">
        <v>464</v>
      </c>
    </row>
    <row r="14" spans="1:8" x14ac:dyDescent="0.25">
      <c r="A14" s="6" t="s">
        <v>113</v>
      </c>
      <c r="B14" s="6" t="s">
        <v>451</v>
      </c>
      <c r="C14" s="6" t="s">
        <v>85</v>
      </c>
      <c r="D14" s="6">
        <v>1.21</v>
      </c>
      <c r="E14" s="6" t="s">
        <v>22</v>
      </c>
      <c r="F14" s="7" t="s">
        <v>510</v>
      </c>
      <c r="G14" s="6" t="s">
        <v>113</v>
      </c>
      <c r="H14" s="8" t="s">
        <v>119</v>
      </c>
    </row>
    <row r="15" spans="1:8" x14ac:dyDescent="0.25">
      <c r="A15" s="3" t="s">
        <v>68</v>
      </c>
      <c r="B15" s="3" t="s">
        <v>451</v>
      </c>
      <c r="C15" s="3" t="s">
        <v>85</v>
      </c>
      <c r="D15" s="3" t="s">
        <v>465</v>
      </c>
      <c r="E15" s="3" t="s">
        <v>22</v>
      </c>
      <c r="F15" s="2" t="s">
        <v>466</v>
      </c>
      <c r="G15" s="3" t="s">
        <v>461</v>
      </c>
      <c r="H15" s="5" t="s">
        <v>86</v>
      </c>
    </row>
    <row r="16" spans="1:8" x14ac:dyDescent="0.25">
      <c r="A16" s="3" t="s">
        <v>68</v>
      </c>
      <c r="B16" s="3" t="s">
        <v>451</v>
      </c>
      <c r="C16" s="3" t="s">
        <v>85</v>
      </c>
      <c r="D16" s="3" t="s">
        <v>81</v>
      </c>
      <c r="E16" s="3" t="s">
        <v>22</v>
      </c>
      <c r="F16" s="2" t="s">
        <v>467</v>
      </c>
      <c r="G16" s="3" t="s">
        <v>68</v>
      </c>
      <c r="H16" s="5" t="s">
        <v>69</v>
      </c>
    </row>
    <row r="17" spans="1:8" x14ac:dyDescent="0.25">
      <c r="A17" s="3" t="s">
        <v>36</v>
      </c>
      <c r="B17" s="3" t="s">
        <v>451</v>
      </c>
      <c r="C17" s="3" t="s">
        <v>37</v>
      </c>
      <c r="D17" s="3">
        <v>39.229999999999997</v>
      </c>
      <c r="E17" s="3" t="s">
        <v>23</v>
      </c>
      <c r="F17" s="2" t="s">
        <v>453</v>
      </c>
      <c r="G17" s="3" t="s">
        <v>454</v>
      </c>
      <c r="H17" s="5" t="s">
        <v>38</v>
      </c>
    </row>
    <row r="18" spans="1:8" x14ac:dyDescent="0.25">
      <c r="A18" s="3" t="s">
        <v>40</v>
      </c>
      <c r="B18" s="3" t="s">
        <v>451</v>
      </c>
      <c r="C18" s="3" t="s">
        <v>37</v>
      </c>
      <c r="D18" s="3" t="s">
        <v>76</v>
      </c>
      <c r="E18" s="3" t="s">
        <v>22</v>
      </c>
      <c r="F18" s="2" t="s">
        <v>477</v>
      </c>
      <c r="G18" s="3" t="s">
        <v>71</v>
      </c>
      <c r="H18" s="5" t="s">
        <v>478</v>
      </c>
    </row>
    <row r="19" spans="1:8" x14ac:dyDescent="0.25">
      <c r="A19" s="3" t="s">
        <v>41</v>
      </c>
      <c r="B19" s="3" t="s">
        <v>451</v>
      </c>
      <c r="C19" s="3" t="s">
        <v>37</v>
      </c>
      <c r="D19" s="3" t="s">
        <v>77</v>
      </c>
      <c r="E19" s="3" t="s">
        <v>22</v>
      </c>
      <c r="F19" s="2" t="s">
        <v>457</v>
      </c>
      <c r="G19" s="3" t="s">
        <v>42</v>
      </c>
      <c r="H19" s="5" t="s">
        <v>458</v>
      </c>
    </row>
    <row r="20" spans="1:8" x14ac:dyDescent="0.25">
      <c r="A20" s="3" t="s">
        <v>83</v>
      </c>
      <c r="B20" s="3" t="s">
        <v>451</v>
      </c>
      <c r="C20" s="3" t="s">
        <v>37</v>
      </c>
      <c r="D20" s="3" t="s">
        <v>43</v>
      </c>
      <c r="E20" s="3" t="s">
        <v>22</v>
      </c>
      <c r="F20" s="2" t="s">
        <v>480</v>
      </c>
      <c r="G20" s="3" t="s">
        <v>44</v>
      </c>
      <c r="H20" s="5" t="s">
        <v>45</v>
      </c>
    </row>
    <row r="21" spans="1:8" x14ac:dyDescent="0.25">
      <c r="A21" s="3" t="s">
        <v>62</v>
      </c>
      <c r="B21" s="3" t="s">
        <v>451</v>
      </c>
      <c r="C21" s="3" t="s">
        <v>37</v>
      </c>
      <c r="D21" s="3" t="s">
        <v>63</v>
      </c>
      <c r="E21" s="3" t="s">
        <v>22</v>
      </c>
      <c r="F21" s="2" t="s">
        <v>452</v>
      </c>
      <c r="G21" s="3" t="s">
        <v>74</v>
      </c>
      <c r="H21" s="5" t="s">
        <v>64</v>
      </c>
    </row>
    <row r="22" spans="1:8" x14ac:dyDescent="0.25">
      <c r="A22" s="6" t="s">
        <v>438</v>
      </c>
      <c r="B22" s="6" t="s">
        <v>341</v>
      </c>
      <c r="C22" s="6" t="s">
        <v>413</v>
      </c>
      <c r="D22" s="6" t="s">
        <v>439</v>
      </c>
      <c r="E22" s="6" t="s">
        <v>22</v>
      </c>
      <c r="F22" s="7" t="s">
        <v>440</v>
      </c>
      <c r="G22" s="6" t="s">
        <v>508</v>
      </c>
      <c r="H22" s="8" t="s">
        <v>441</v>
      </c>
    </row>
    <row r="23" spans="1:8" x14ac:dyDescent="0.25">
      <c r="A23" s="3" t="s">
        <v>412</v>
      </c>
      <c r="B23" s="3" t="s">
        <v>341</v>
      </c>
      <c r="C23" s="3" t="s">
        <v>413</v>
      </c>
      <c r="D23" s="3" t="s">
        <v>414</v>
      </c>
      <c r="E23" s="3" t="s">
        <v>22</v>
      </c>
      <c r="F23" s="2" t="s">
        <v>415</v>
      </c>
      <c r="G23" s="3" t="s">
        <v>503</v>
      </c>
      <c r="H23" s="5" t="s">
        <v>416</v>
      </c>
    </row>
    <row r="24" spans="1:8" x14ac:dyDescent="0.25">
      <c r="A24" s="3" t="s">
        <v>357</v>
      </c>
      <c r="B24" s="3" t="s">
        <v>341</v>
      </c>
      <c r="C24" s="3" t="s">
        <v>57</v>
      </c>
      <c r="D24" s="3">
        <v>2.2999999999999998</v>
      </c>
      <c r="E24" s="3" t="s">
        <v>22</v>
      </c>
      <c r="F24" s="2" t="s">
        <v>358</v>
      </c>
      <c r="G24" s="3" t="s">
        <v>380</v>
      </c>
      <c r="H24" s="5" t="s">
        <v>359</v>
      </c>
    </row>
    <row r="25" spans="1:8" x14ac:dyDescent="0.25">
      <c r="A25" s="3" t="s">
        <v>346</v>
      </c>
      <c r="B25" s="3" t="s">
        <v>341</v>
      </c>
      <c r="C25" s="3" t="s">
        <v>57</v>
      </c>
      <c r="D25" s="3" t="s">
        <v>347</v>
      </c>
      <c r="E25" s="3" t="s">
        <v>95</v>
      </c>
      <c r="F25" s="2" t="s">
        <v>348</v>
      </c>
      <c r="G25" s="3" t="s">
        <v>377</v>
      </c>
      <c r="H25" s="5" t="s">
        <v>349</v>
      </c>
    </row>
    <row r="26" spans="1:8" x14ac:dyDescent="0.25">
      <c r="A26" s="6" t="s">
        <v>372</v>
      </c>
      <c r="B26" s="6" t="s">
        <v>341</v>
      </c>
      <c r="C26" s="6" t="s">
        <v>57</v>
      </c>
      <c r="D26" s="6" t="s">
        <v>373</v>
      </c>
      <c r="E26" s="6" t="s">
        <v>22</v>
      </c>
      <c r="F26" s="7" t="s">
        <v>374</v>
      </c>
      <c r="G26" s="6" t="s">
        <v>384</v>
      </c>
      <c r="H26" s="8" t="s">
        <v>375</v>
      </c>
    </row>
    <row r="27" spans="1:8" x14ac:dyDescent="0.25">
      <c r="A27" s="3" t="s">
        <v>385</v>
      </c>
      <c r="B27" s="3" t="s">
        <v>341</v>
      </c>
      <c r="C27" s="3" t="s">
        <v>57</v>
      </c>
      <c r="D27" s="3" t="s">
        <v>386</v>
      </c>
      <c r="E27" s="3" t="s">
        <v>95</v>
      </c>
      <c r="F27" s="2" t="s">
        <v>387</v>
      </c>
      <c r="G27" s="3" t="s">
        <v>446</v>
      </c>
      <c r="H27" s="5" t="s">
        <v>388</v>
      </c>
    </row>
    <row r="28" spans="1:8" x14ac:dyDescent="0.25">
      <c r="A28" s="6" t="s">
        <v>368</v>
      </c>
      <c r="B28" s="6" t="s">
        <v>341</v>
      </c>
      <c r="C28" s="6" t="s">
        <v>57</v>
      </c>
      <c r="D28" s="6" t="s">
        <v>369</v>
      </c>
      <c r="E28" s="6" t="s">
        <v>22</v>
      </c>
      <c r="F28" s="7" t="s">
        <v>370</v>
      </c>
      <c r="G28" s="6" t="s">
        <v>383</v>
      </c>
      <c r="H28" s="8" t="s">
        <v>371</v>
      </c>
    </row>
    <row r="29" spans="1:8" x14ac:dyDescent="0.25">
      <c r="A29" s="3" t="s">
        <v>354</v>
      </c>
      <c r="B29" s="3" t="s">
        <v>341</v>
      </c>
      <c r="C29" s="3" t="s">
        <v>57</v>
      </c>
      <c r="D29" s="3">
        <v>2.5</v>
      </c>
      <c r="E29" s="3" t="s">
        <v>22</v>
      </c>
      <c r="F29" s="2" t="s">
        <v>355</v>
      </c>
      <c r="G29" s="3" t="s">
        <v>379</v>
      </c>
      <c r="H29" s="5" t="s">
        <v>356</v>
      </c>
    </row>
    <row r="30" spans="1:8" x14ac:dyDescent="0.25">
      <c r="A30" s="3" t="s">
        <v>340</v>
      </c>
      <c r="B30" s="3" t="s">
        <v>341</v>
      </c>
      <c r="C30" s="3" t="s">
        <v>342</v>
      </c>
      <c r="D30" s="3" t="s">
        <v>343</v>
      </c>
      <c r="E30" s="3" t="s">
        <v>22</v>
      </c>
      <c r="F30" s="2" t="s">
        <v>344</v>
      </c>
      <c r="G30" s="3" t="s">
        <v>376</v>
      </c>
      <c r="H30" s="5" t="s">
        <v>345</v>
      </c>
    </row>
    <row r="31" spans="1:8" x14ac:dyDescent="0.25">
      <c r="A31" s="6" t="s">
        <v>425</v>
      </c>
      <c r="B31" s="6" t="s">
        <v>341</v>
      </c>
      <c r="C31" s="6" t="s">
        <v>400</v>
      </c>
      <c r="D31" s="6" t="s">
        <v>426</v>
      </c>
      <c r="E31" s="6" t="s">
        <v>22</v>
      </c>
      <c r="F31" s="7" t="s">
        <v>427</v>
      </c>
      <c r="G31" s="6" t="s">
        <v>505</v>
      </c>
      <c r="H31" s="8" t="s">
        <v>428</v>
      </c>
    </row>
    <row r="32" spans="1:8" x14ac:dyDescent="0.25">
      <c r="A32" s="6" t="s">
        <v>442</v>
      </c>
      <c r="B32" s="6" t="s">
        <v>341</v>
      </c>
      <c r="C32" s="6" t="s">
        <v>400</v>
      </c>
      <c r="D32" s="6" t="s">
        <v>443</v>
      </c>
      <c r="E32" s="6" t="s">
        <v>95</v>
      </c>
      <c r="F32" s="7" t="s">
        <v>444</v>
      </c>
      <c r="G32" s="6" t="s">
        <v>509</v>
      </c>
      <c r="H32" s="8" t="s">
        <v>445</v>
      </c>
    </row>
    <row r="33" spans="1:8" x14ac:dyDescent="0.25">
      <c r="A33" s="3" t="s">
        <v>403</v>
      </c>
      <c r="B33" s="3" t="s">
        <v>341</v>
      </c>
      <c r="C33" s="3" t="s">
        <v>400</v>
      </c>
      <c r="D33" s="3" t="s">
        <v>404</v>
      </c>
      <c r="E33" s="3" t="s">
        <v>95</v>
      </c>
      <c r="F33" s="2" t="s">
        <v>405</v>
      </c>
      <c r="G33" s="3" t="s">
        <v>450</v>
      </c>
      <c r="H33" s="5" t="s">
        <v>406</v>
      </c>
    </row>
    <row r="34" spans="1:8" x14ac:dyDescent="0.25">
      <c r="A34" s="3" t="s">
        <v>399</v>
      </c>
      <c r="B34" s="3" t="s">
        <v>341</v>
      </c>
      <c r="C34" s="3" t="s">
        <v>400</v>
      </c>
      <c r="D34" s="3">
        <v>1.24</v>
      </c>
      <c r="E34" s="3" t="s">
        <v>23</v>
      </c>
      <c r="F34" s="2" t="s">
        <v>401</v>
      </c>
      <c r="G34" s="3" t="s">
        <v>449</v>
      </c>
      <c r="H34" s="5" t="s">
        <v>402</v>
      </c>
    </row>
    <row r="35" spans="1:8" x14ac:dyDescent="0.25">
      <c r="A35" s="3" t="s">
        <v>407</v>
      </c>
      <c r="B35" s="3" t="s">
        <v>341</v>
      </c>
      <c r="C35" s="3" t="s">
        <v>400</v>
      </c>
      <c r="D35" s="3" t="s">
        <v>408</v>
      </c>
      <c r="E35" s="3" t="s">
        <v>409</v>
      </c>
      <c r="F35" s="2" t="s">
        <v>410</v>
      </c>
      <c r="G35" s="3" t="s">
        <v>502</v>
      </c>
      <c r="H35" s="5" t="s">
        <v>411</v>
      </c>
    </row>
    <row r="36" spans="1:8" x14ac:dyDescent="0.25">
      <c r="A36" s="6" t="s">
        <v>429</v>
      </c>
      <c r="B36" s="6" t="s">
        <v>341</v>
      </c>
      <c r="C36" s="6" t="s">
        <v>400</v>
      </c>
      <c r="D36" s="6" t="s">
        <v>430</v>
      </c>
      <c r="E36" s="6" t="s">
        <v>22</v>
      </c>
      <c r="F36" s="7" t="s">
        <v>431</v>
      </c>
      <c r="G36" s="6" t="s">
        <v>506</v>
      </c>
      <c r="H36" s="8" t="s">
        <v>432</v>
      </c>
    </row>
    <row r="37" spans="1:8" x14ac:dyDescent="0.25">
      <c r="A37" s="3" t="s">
        <v>350</v>
      </c>
      <c r="B37" s="3" t="s">
        <v>341</v>
      </c>
      <c r="C37" s="3" t="s">
        <v>37</v>
      </c>
      <c r="D37" s="3" t="s">
        <v>351</v>
      </c>
      <c r="E37" s="3" t="s">
        <v>22</v>
      </c>
      <c r="F37" s="2" t="s">
        <v>352</v>
      </c>
      <c r="G37" s="3" t="s">
        <v>378</v>
      </c>
      <c r="H37" s="5" t="s">
        <v>353</v>
      </c>
    </row>
    <row r="38" spans="1:8" x14ac:dyDescent="0.25">
      <c r="A38" s="6" t="s">
        <v>360</v>
      </c>
      <c r="B38" s="6" t="s">
        <v>341</v>
      </c>
      <c r="C38" s="6" t="s">
        <v>37</v>
      </c>
      <c r="D38" s="6" t="s">
        <v>361</v>
      </c>
      <c r="E38" s="6" t="s">
        <v>22</v>
      </c>
      <c r="F38" s="7" t="s">
        <v>362</v>
      </c>
      <c r="G38" s="6" t="s">
        <v>381</v>
      </c>
      <c r="H38" s="8" t="s">
        <v>363</v>
      </c>
    </row>
    <row r="39" spans="1:8" x14ac:dyDescent="0.25">
      <c r="A39" s="6" t="s">
        <v>364</v>
      </c>
      <c r="B39" s="6" t="s">
        <v>341</v>
      </c>
      <c r="C39" s="6" t="s">
        <v>37</v>
      </c>
      <c r="D39" s="6" t="s">
        <v>365</v>
      </c>
      <c r="E39" s="6" t="s">
        <v>22</v>
      </c>
      <c r="F39" s="7" t="s">
        <v>366</v>
      </c>
      <c r="G39" s="6" t="s">
        <v>382</v>
      </c>
      <c r="H39" s="8" t="s">
        <v>367</v>
      </c>
    </row>
    <row r="40" spans="1:8" x14ac:dyDescent="0.25">
      <c r="A40" s="3" t="s">
        <v>394</v>
      </c>
      <c r="B40" s="3" t="s">
        <v>341</v>
      </c>
      <c r="C40" s="3" t="s">
        <v>395</v>
      </c>
      <c r="D40" s="3" t="s">
        <v>396</v>
      </c>
      <c r="E40" s="3" t="s">
        <v>22</v>
      </c>
      <c r="F40" s="2" t="s">
        <v>397</v>
      </c>
      <c r="G40" s="3" t="s">
        <v>448</v>
      </c>
      <c r="H40" s="5" t="s">
        <v>398</v>
      </c>
    </row>
    <row r="41" spans="1:8" x14ac:dyDescent="0.25">
      <c r="A41" s="3" t="s">
        <v>417</v>
      </c>
      <c r="B41" s="3" t="s">
        <v>341</v>
      </c>
      <c r="C41" s="3" t="s">
        <v>395</v>
      </c>
      <c r="D41" s="3" t="s">
        <v>418</v>
      </c>
      <c r="E41" s="3" t="s">
        <v>22</v>
      </c>
      <c r="F41" s="2" t="s">
        <v>419</v>
      </c>
      <c r="G41" s="3" t="s">
        <v>504</v>
      </c>
      <c r="H41" s="5" t="s">
        <v>420</v>
      </c>
    </row>
    <row r="42" spans="1:8" x14ac:dyDescent="0.25">
      <c r="A42" s="6" t="s">
        <v>433</v>
      </c>
      <c r="B42" s="6" t="s">
        <v>341</v>
      </c>
      <c r="C42" s="6" t="s">
        <v>395</v>
      </c>
      <c r="D42" s="6" t="s">
        <v>434</v>
      </c>
      <c r="E42" s="6" t="s">
        <v>435</v>
      </c>
      <c r="F42" s="7" t="s">
        <v>436</v>
      </c>
      <c r="G42" s="6" t="s">
        <v>507</v>
      </c>
      <c r="H42" s="8" t="s">
        <v>437</v>
      </c>
    </row>
    <row r="43" spans="1:8" x14ac:dyDescent="0.25">
      <c r="A43" s="6" t="s">
        <v>421</v>
      </c>
      <c r="B43" s="6" t="s">
        <v>341</v>
      </c>
      <c r="C43" s="6" t="s">
        <v>395</v>
      </c>
      <c r="D43" s="6" t="s">
        <v>422</v>
      </c>
      <c r="E43" s="6" t="s">
        <v>22</v>
      </c>
      <c r="F43" s="7" t="s">
        <v>423</v>
      </c>
      <c r="G43" s="6" t="s">
        <v>421</v>
      </c>
      <c r="H43" s="8" t="s">
        <v>424</v>
      </c>
    </row>
    <row r="44" spans="1:8" x14ac:dyDescent="0.25">
      <c r="A44" s="3" t="s">
        <v>389</v>
      </c>
      <c r="B44" s="3" t="s">
        <v>341</v>
      </c>
      <c r="C44" s="3" t="s">
        <v>390</v>
      </c>
      <c r="D44" s="3" t="s">
        <v>391</v>
      </c>
      <c r="E44" s="3" t="s">
        <v>95</v>
      </c>
      <c r="F44" s="2" t="s">
        <v>392</v>
      </c>
      <c r="G44" s="3" t="s">
        <v>447</v>
      </c>
      <c r="H44" s="5" t="s">
        <v>393</v>
      </c>
    </row>
    <row r="45" spans="1:8" x14ac:dyDescent="0.25">
      <c r="A45" s="3" t="s">
        <v>102</v>
      </c>
      <c r="B45" s="3" t="s">
        <v>491</v>
      </c>
      <c r="C45" s="3" t="s">
        <v>494</v>
      </c>
      <c r="D45" s="3" t="s">
        <v>499</v>
      </c>
      <c r="E45" s="3" t="s">
        <v>22</v>
      </c>
      <c r="F45" s="2" t="s">
        <v>500</v>
      </c>
      <c r="G45" s="3" t="s">
        <v>102</v>
      </c>
      <c r="H45" s="5" t="s">
        <v>105</v>
      </c>
    </row>
    <row r="46" spans="1:8" x14ac:dyDescent="0.25">
      <c r="A46" s="3" t="s">
        <v>103</v>
      </c>
      <c r="B46" s="3" t="s">
        <v>491</v>
      </c>
      <c r="C46" s="3" t="s">
        <v>494</v>
      </c>
      <c r="D46" s="3" t="s">
        <v>495</v>
      </c>
      <c r="E46" s="3" t="s">
        <v>22</v>
      </c>
      <c r="F46" s="2" t="s">
        <v>496</v>
      </c>
      <c r="G46" s="3" t="s">
        <v>103</v>
      </c>
      <c r="H46" s="5" t="s">
        <v>106</v>
      </c>
    </row>
    <row r="47" spans="1:8" x14ac:dyDescent="0.25">
      <c r="A47" s="3" t="s">
        <v>96</v>
      </c>
      <c r="B47" s="3" t="s">
        <v>491</v>
      </c>
      <c r="C47" s="3" t="s">
        <v>97</v>
      </c>
      <c r="D47" s="3" t="s">
        <v>98</v>
      </c>
      <c r="E47" s="3" t="s">
        <v>22</v>
      </c>
      <c r="F47" s="2" t="s">
        <v>501</v>
      </c>
      <c r="G47" s="3" t="s">
        <v>96</v>
      </c>
      <c r="H47" s="5" t="s">
        <v>101</v>
      </c>
    </row>
    <row r="48" spans="1:8" x14ac:dyDescent="0.25">
      <c r="A48" s="3" t="s">
        <v>490</v>
      </c>
      <c r="B48" s="3" t="s">
        <v>491</v>
      </c>
      <c r="C48" s="3" t="s">
        <v>97</v>
      </c>
      <c r="D48" s="3" t="s">
        <v>492</v>
      </c>
      <c r="E48" s="3" t="s">
        <v>95</v>
      </c>
      <c r="F48" s="2" t="s">
        <v>493</v>
      </c>
      <c r="G48" s="3" t="s">
        <v>99</v>
      </c>
      <c r="H48" s="5" t="s">
        <v>100</v>
      </c>
    </row>
    <row r="49" spans="1:8" x14ac:dyDescent="0.25">
      <c r="A49" s="3" t="s">
        <v>104</v>
      </c>
      <c r="B49" s="3" t="s">
        <v>497</v>
      </c>
      <c r="C49" s="3" t="s">
        <v>111</v>
      </c>
      <c r="D49" s="3" t="s">
        <v>110</v>
      </c>
      <c r="E49" s="3" t="s">
        <v>498</v>
      </c>
      <c r="F49" s="2" t="s">
        <v>109</v>
      </c>
      <c r="G49" s="3" t="s">
        <v>108</v>
      </c>
      <c r="H49" s="5" t="s">
        <v>107</v>
      </c>
    </row>
    <row r="50" spans="1:8" x14ac:dyDescent="0.25">
      <c r="A50" s="3" t="s">
        <v>13</v>
      </c>
      <c r="B50" s="3" t="s">
        <v>332</v>
      </c>
      <c r="C50" s="3" t="s">
        <v>17</v>
      </c>
      <c r="D50" s="3" t="s">
        <v>21</v>
      </c>
      <c r="E50" s="3" t="s">
        <v>22</v>
      </c>
      <c r="F50" s="2" t="s">
        <v>333</v>
      </c>
      <c r="G50" s="3" t="s">
        <v>13</v>
      </c>
      <c r="H50" s="5" t="s">
        <v>33</v>
      </c>
    </row>
    <row r="51" spans="1:8" x14ac:dyDescent="0.25">
      <c r="A51" s="3" t="s">
        <v>14</v>
      </c>
      <c r="B51" s="3" t="s">
        <v>332</v>
      </c>
      <c r="C51" s="3" t="s">
        <v>17</v>
      </c>
      <c r="D51" s="4">
        <v>2.11</v>
      </c>
      <c r="E51" s="3" t="s">
        <v>22</v>
      </c>
      <c r="F51" s="2" t="s">
        <v>335</v>
      </c>
      <c r="G51" s="3" t="s">
        <v>27</v>
      </c>
      <c r="H51" s="5" t="s">
        <v>34</v>
      </c>
    </row>
    <row r="52" spans="1:8" x14ac:dyDescent="0.25">
      <c r="A52" s="3" t="s">
        <v>12</v>
      </c>
      <c r="B52" s="3" t="s">
        <v>332</v>
      </c>
      <c r="C52" s="3" t="s">
        <v>16</v>
      </c>
      <c r="D52" s="3" t="s">
        <v>20</v>
      </c>
      <c r="E52" s="3" t="s">
        <v>24</v>
      </c>
      <c r="F52" s="2" t="s">
        <v>334</v>
      </c>
      <c r="G52" s="3" t="s">
        <v>26</v>
      </c>
      <c r="H52" s="5" t="s">
        <v>32</v>
      </c>
    </row>
    <row r="53" spans="1:8" x14ac:dyDescent="0.25">
      <c r="A53" s="3" t="s">
        <v>11</v>
      </c>
      <c r="B53" s="3" t="s">
        <v>332</v>
      </c>
      <c r="C53" s="3" t="s">
        <v>16</v>
      </c>
      <c r="D53" s="3" t="s">
        <v>19</v>
      </c>
      <c r="E53" s="3" t="s">
        <v>22</v>
      </c>
      <c r="F53" s="2" t="s">
        <v>337</v>
      </c>
      <c r="G53" s="3" t="s">
        <v>25</v>
      </c>
      <c r="H53" s="5" t="s">
        <v>31</v>
      </c>
    </row>
    <row r="54" spans="1:8" x14ac:dyDescent="0.25">
      <c r="A54" s="3" t="s">
        <v>9</v>
      </c>
      <c r="B54" s="3" t="s">
        <v>332</v>
      </c>
      <c r="C54" s="3" t="s">
        <v>15</v>
      </c>
      <c r="D54" s="4" t="s">
        <v>517</v>
      </c>
      <c r="E54" s="3" t="s">
        <v>95</v>
      </c>
      <c r="F54" s="2" t="s">
        <v>338</v>
      </c>
      <c r="G54" s="3" t="s">
        <v>9</v>
      </c>
      <c r="H54" s="5" t="s">
        <v>29</v>
      </c>
    </row>
    <row r="55" spans="1:8" x14ac:dyDescent="0.25">
      <c r="A55" s="3" t="s">
        <v>8</v>
      </c>
      <c r="B55" s="3" t="s">
        <v>332</v>
      </c>
      <c r="C55" s="3" t="s">
        <v>15</v>
      </c>
      <c r="D55" s="3" t="s">
        <v>18</v>
      </c>
      <c r="E55" s="3" t="s">
        <v>22</v>
      </c>
      <c r="F55" s="2" t="s">
        <v>336</v>
      </c>
      <c r="G55" s="3" t="s">
        <v>8</v>
      </c>
      <c r="H55" s="5" t="s">
        <v>28</v>
      </c>
    </row>
    <row r="56" spans="1:8" x14ac:dyDescent="0.25">
      <c r="A56" s="3" t="s">
        <v>10</v>
      </c>
      <c r="B56" s="3" t="s">
        <v>332</v>
      </c>
      <c r="C56" s="3" t="s">
        <v>15</v>
      </c>
      <c r="D56" s="3">
        <v>0.39</v>
      </c>
      <c r="E56" s="3" t="s">
        <v>23</v>
      </c>
      <c r="F56" s="2" t="s">
        <v>339</v>
      </c>
      <c r="G56" s="3" t="s">
        <v>35</v>
      </c>
      <c r="H56" s="5" t="s">
        <v>30</v>
      </c>
    </row>
    <row r="57" spans="1:8" x14ac:dyDescent="0.25">
      <c r="A57" s="6" t="s">
        <v>114</v>
      </c>
      <c r="B57" s="6" t="s">
        <v>512</v>
      </c>
      <c r="C57" s="6" t="s">
        <v>117</v>
      </c>
      <c r="D57" s="6">
        <v>2.2999999999999998</v>
      </c>
      <c r="E57" s="6" t="s">
        <v>23</v>
      </c>
      <c r="F57" s="7" t="s">
        <v>515</v>
      </c>
      <c r="G57" s="6" t="s">
        <v>122</v>
      </c>
      <c r="H57" s="8" t="s">
        <v>126</v>
      </c>
    </row>
    <row r="58" spans="1:8" x14ac:dyDescent="0.25">
      <c r="A58" s="6" t="s">
        <v>115</v>
      </c>
      <c r="B58" s="6" t="s">
        <v>512</v>
      </c>
      <c r="C58" s="6" t="s">
        <v>118</v>
      </c>
      <c r="D58" s="6" t="s">
        <v>127</v>
      </c>
      <c r="E58" s="6" t="s">
        <v>95</v>
      </c>
      <c r="F58" s="7" t="s">
        <v>514</v>
      </c>
      <c r="G58" s="6" t="s">
        <v>508</v>
      </c>
      <c r="H58" s="8" t="s">
        <v>128</v>
      </c>
    </row>
    <row r="59" spans="1:8" x14ac:dyDescent="0.25">
      <c r="A59" s="6" t="s">
        <v>112</v>
      </c>
      <c r="B59" s="6" t="s">
        <v>512</v>
      </c>
      <c r="C59" s="6" t="s">
        <v>116</v>
      </c>
      <c r="D59" s="6" t="s">
        <v>124</v>
      </c>
      <c r="E59" s="6" t="s">
        <v>23</v>
      </c>
      <c r="F59" s="7" t="s">
        <v>516</v>
      </c>
      <c r="G59" s="6" t="s">
        <v>120</v>
      </c>
      <c r="H59" s="8" t="s">
        <v>123</v>
      </c>
    </row>
    <row r="60" spans="1:8" x14ac:dyDescent="0.25">
      <c r="A60" s="6" t="s">
        <v>511</v>
      </c>
      <c r="B60" s="6" t="s">
        <v>512</v>
      </c>
      <c r="C60" s="6" t="s">
        <v>116</v>
      </c>
      <c r="D60" s="6">
        <v>1.28</v>
      </c>
      <c r="E60" s="6" t="s">
        <v>95</v>
      </c>
      <c r="F60" s="7" t="s">
        <v>513</v>
      </c>
      <c r="G60" s="6" t="s">
        <v>121</v>
      </c>
      <c r="H60" s="8" t="s">
        <v>125</v>
      </c>
    </row>
    <row r="61" spans="1:8" x14ac:dyDescent="0.25">
      <c r="A61" s="3" t="s">
        <v>90</v>
      </c>
      <c r="B61" s="3" t="s">
        <v>88</v>
      </c>
      <c r="C61" s="3" t="s">
        <v>88</v>
      </c>
      <c r="D61" s="3">
        <v>1.21</v>
      </c>
      <c r="E61" s="3" t="s">
        <v>22</v>
      </c>
      <c r="F61" s="2" t="s">
        <v>486</v>
      </c>
      <c r="G61" s="3" t="s">
        <v>90</v>
      </c>
      <c r="H61" s="5" t="s">
        <v>89</v>
      </c>
    </row>
    <row r="62" spans="1:8" x14ac:dyDescent="0.25">
      <c r="A62" s="3" t="s">
        <v>483</v>
      </c>
      <c r="B62" s="3" t="s">
        <v>88</v>
      </c>
      <c r="C62" s="3" t="s">
        <v>88</v>
      </c>
      <c r="D62" s="3" t="s">
        <v>93</v>
      </c>
      <c r="E62" s="3" t="s">
        <v>22</v>
      </c>
      <c r="F62" s="2" t="s">
        <v>484</v>
      </c>
      <c r="G62" s="3" t="s">
        <v>485</v>
      </c>
      <c r="H62" s="5" t="s">
        <v>94</v>
      </c>
    </row>
    <row r="63" spans="1:8" x14ac:dyDescent="0.25">
      <c r="A63" s="3" t="s">
        <v>87</v>
      </c>
      <c r="B63" s="3" t="s">
        <v>88</v>
      </c>
      <c r="C63" s="3" t="s">
        <v>88</v>
      </c>
      <c r="D63" s="3" t="s">
        <v>91</v>
      </c>
      <c r="E63" s="3" t="s">
        <v>487</v>
      </c>
      <c r="F63" s="2" t="s">
        <v>488</v>
      </c>
      <c r="G63" s="3" t="s">
        <v>92</v>
      </c>
      <c r="H63" s="5" t="s">
        <v>489</v>
      </c>
    </row>
    <row r="64" spans="1:8" x14ac:dyDescent="0.25">
      <c r="A64" s="6"/>
      <c r="B64" s="6"/>
      <c r="C64" s="6"/>
      <c r="D64" s="6"/>
      <c r="E64" s="6"/>
      <c r="F64" s="7"/>
      <c r="G64" s="6"/>
      <c r="H64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257C-5711-42A0-B3E5-6ABD539CD103}">
  <dimension ref="A1:G148"/>
  <sheetViews>
    <sheetView tabSelected="1" topLeftCell="A113" workbookViewId="0">
      <selection activeCell="F107" sqref="F107:F148"/>
    </sheetView>
  </sheetViews>
  <sheetFormatPr baseColWidth="10" defaultRowHeight="15" x14ac:dyDescent="0.25"/>
  <cols>
    <col min="1" max="1" width="32.28515625" bestFit="1" customWidth="1"/>
    <col min="2" max="2" width="32.28515625" customWidth="1"/>
    <col min="3" max="3" width="9.140625" bestFit="1" customWidth="1"/>
    <col min="4" max="4" width="9.140625" customWidth="1"/>
    <col min="5" max="5" width="20.42578125" customWidth="1"/>
    <col min="6" max="6" width="40.85546875" customWidth="1"/>
  </cols>
  <sheetData>
    <row r="1" spans="1:7" x14ac:dyDescent="0.25">
      <c r="A1" t="s">
        <v>270</v>
      </c>
      <c r="B1" t="s">
        <v>273</v>
      </c>
      <c r="C1" t="s">
        <v>269</v>
      </c>
      <c r="D1" t="s">
        <v>272</v>
      </c>
      <c r="E1" t="s">
        <v>284</v>
      </c>
      <c r="F1" t="s">
        <v>271</v>
      </c>
      <c r="G1" t="s">
        <v>327</v>
      </c>
    </row>
    <row r="2" spans="1:7" x14ac:dyDescent="0.25">
      <c r="A2" t="s">
        <v>130</v>
      </c>
      <c r="B2" t="s">
        <v>274</v>
      </c>
      <c r="C2">
        <v>1</v>
      </c>
      <c r="D2" t="str">
        <f t="shared" ref="D2:D65" si="0">"docker run --rm -v /home/soporte/atenea/BIOINFOR/INDEX/STAR:/INDEX -v /home/soporte/poseidon/BIOINFOR_SILVER/SEQUENCING/TRANSCRIPTOME:/rawdata "&amp;"-v /home/soporte/BIOINFOR/ALIGNMENT:/data dromero93/star:latest --runMode alignReads --runThreadN 35 --genomeDir "&amp;"/INDEX/Acepa_PSQ_v4 --readFilesCommand zcat --outFilterMismatchNoverLmax 0.15 --outFilterScoreMinOverLread 0.5 --outFilterMatchNminOverLread 0.5 --alignIntronMax 2000000"&amp;" --alignMatesGapMax 2000000 --outSAMmultNmax 10 --outFileNamePrefix /data/"&amp;SUBSTITUTE(A2,".bam","")&amp;" --outSAMtype BAM SortedByCoordinate --outBAMsortingThreadN 35 --readFilesIn /rawdata/"&amp;B2&amp;"/"&amp;SUBSTITUTE(A2,".bam","_R1_tnonrRNA.fastq.gz")&amp;" /rawdata/"&amp;B2&amp;"/"&amp;SUBSTITUTE(A2,".bam","_R2_tnonrRNA.fastq.gz")</f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/data/A10_POOLR_T_PESQ_1 --outSAMtype BAM SortedByCoordinate --outBAMsortingThreadN 35 --readFilesIn /rawdata/A10_Villanueva/A10_POOLR_T_PESQ_1_R1_tnonrRNA.fastq.gz /rawdata/A10_Villanueva/A10_POOLR_T_PESQ_1_R2_tnonrRNA.fastq.gz</v>
      </c>
      <c r="E2" t="str">
        <f>"docker run --rm -v /home/soporte/BIOINFOR/ALIGNMENT:/data dromero93/samtools index -@ 35 -c "&amp;A2</f>
        <v>docker run --rm -v /home/soporte/BIOINFOR/ALIGNMENT:/data dromero93/samtools index -@ 35 -c A10_POOLR_T_PESQ_1.bam</v>
      </c>
      <c r="F2" t="str">
        <f>"docker run --rm --entrypoint /bin/bash -v /home/soporte/atenea/BIOINFOR/DATABASE:/INDEX -v /home/soporte/BIOINFOR/ALIGNMENT:/rawdata"&amp;" -v /home/soporte/BIOINFOR/VARIANT_CALLING:/data dromero93/bcftools:latest -c 'bcftools mpileup --redo-BAQ -Q 15 -Ou -a FORMAT/AD,FORMAT/DP,INFO/AD --threads 35 -f /INDEX/Acepa/Acepa_PSQ/Genome_Temprana_v4.fasta /rawdata/"&amp;A2&amp;" | bcftools call --threads 35 -mv -Oz -o /data/"&amp;SUBSTITUTE(A2,".bam",".vcf")&amp;"'"</f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/rawdata/A10_POOLR_T_PESQ_1.bam | bcftools call --threads 35 -mv -Oz -o /data/A10_POOLR_T_PESQ_1.vcf'</v>
      </c>
    </row>
    <row r="3" spans="1:7" x14ac:dyDescent="0.25">
      <c r="A3" t="s">
        <v>131</v>
      </c>
      <c r="B3" t="s">
        <v>274</v>
      </c>
      <c r="C3">
        <v>1</v>
      </c>
      <c r="D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/data/A10_POOLS_T_PESQ_1 --outSAMtype BAM SortedByCoordinate --outBAMsortingThreadN 35 --readFilesIn /rawdata/A10_Villanueva/A10_POOLS_T_PESQ_1_R1_tnonrRNA.fastq.gz /rawdata/A10_Villanueva/A10_POOLS_T_PESQ_1_R2_tnonrRNA.fastq.gz</v>
      </c>
      <c r="E3" t="str">
        <f t="shared" ref="E3:E66" si="1">"docker run --rm -v /home/soporte/BIOINFOR/ALIGNMENT:/data dromero93/samtools index -@ 35 -c "&amp;A3</f>
        <v>docker run --rm -v /home/soporte/BIOINFOR/ALIGNMENT:/data dromero93/samtools index -@ 35 -c A10_POOLS_T_PESQ_1.bam</v>
      </c>
      <c r="F3" t="str">
        <f t="shared" ref="F3:F66" si="2">"docker run --rm --entrypoint /bin/bash -v /home/soporte/atenea/BIOINFOR/DATABASE:/INDEX -v /home/soporte/BIOINFOR/ALIGNMENT:/rawdata"&amp;" -v /home/soporte/BIOINFOR/VARIANT_CALLING:/data dromero93/bcftools:latest -c 'bcftools mpileup --redo-BAQ -Q 15 -Ou -a FORMAT/AD,FORMAT/DP,INFO/AD --threads 35 -f /INDEX/Acepa/Acepa_PSQ/Genome_Temprana_v4.fasta /rawdata/"&amp;A3&amp;" | bcftools call --threads 35 -mv -Oz -o /data/"&amp;SUBSTITUTE(A3,".bam",".vcf")&amp;"'"</f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/rawdata/A10_POOLS_T_PESQ_1.bam | bcftools call --threads 35 -mv -Oz -o /data/A10_POOLS_T_PESQ_1.vcf'</v>
      </c>
    </row>
    <row r="4" spans="1:7" x14ac:dyDescent="0.25">
      <c r="A4" t="s">
        <v>196</v>
      </c>
      <c r="B4" t="s">
        <v>275</v>
      </c>
      <c r="C4">
        <v>1</v>
      </c>
      <c r="D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/data/I06_POOLR_AND_T_PESQ_1 --outSAMtype BAM SortedByCoordinate --outBAMsortingThreadN 35 --readFilesIn /rawdata/I06_Pesquero/I06_POOLR_AND_T_PESQ_1_R1_tnonrRNA.fastq.gz /rawdata/I06_Pesquero/I06_POOLR_AND_T_PESQ_1_R2_tnonrRNA.fastq.gz</v>
      </c>
      <c r="E4" t="str">
        <f t="shared" si="1"/>
        <v>docker run --rm -v /home/soporte/BIOINFOR/ALIGNMENT:/data dromero93/samtools index -@ 35 -c I06_POOLR_AND_T_PESQ_1.bam</v>
      </c>
      <c r="F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/rawdata/I06_POOLR_AND_T_PESQ_1.bam | bcftools call --threads 35 -mv -Oz -o /data/I06_POOLR_AND_T_PESQ_1.vcf'</v>
      </c>
    </row>
    <row r="5" spans="1:7" x14ac:dyDescent="0.25">
      <c r="A5" t="s">
        <v>197</v>
      </c>
      <c r="B5" t="s">
        <v>275</v>
      </c>
      <c r="C5">
        <v>1</v>
      </c>
      <c r="D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/data/I06_POOLR_MT_T_PESQ_1 --outSAMtype BAM SortedByCoordinate --outBAMsortingThreadN 35 --readFilesIn /rawdata/I06_Pesquero/I06_POOLR_MT_T_PESQ_1_R1_tnonrRNA.fastq.gz /rawdata/I06_Pesquero/I06_POOLR_MT_T_PESQ_1_R2_tnonrRNA.fastq.gz</v>
      </c>
      <c r="E5" t="str">
        <f t="shared" si="1"/>
        <v>docker run --rm -v /home/soporte/BIOINFOR/ALIGNMENT:/data dromero93/samtools index -@ 35 -c I06_POOLR_MT_T_PESQ_1.bam</v>
      </c>
      <c r="F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/rawdata/I06_POOLR_MT_T_PESQ_1.bam | bcftools call --threads 35 -mv -Oz -o /data/I06_POOLR_MT_T_PESQ_1.vcf'</v>
      </c>
    </row>
    <row r="6" spans="1:7" x14ac:dyDescent="0.25">
      <c r="A6" t="s">
        <v>198</v>
      </c>
      <c r="B6" t="s">
        <v>275</v>
      </c>
      <c r="C6">
        <v>1</v>
      </c>
      <c r="D6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/data/I06_POOLS_T_PESQ_1 --outSAMtype BAM SortedByCoordinate --outBAMsortingThreadN 35 --readFilesIn /rawdata/I06_Pesquero/I06_POOLS_T_PESQ_1_R1_tnonrRNA.fastq.gz /rawdata/I06_Pesquero/I06_POOLS_T_PESQ_1_R2_tnonrRNA.fastq.gz</v>
      </c>
      <c r="E6" t="str">
        <f t="shared" si="1"/>
        <v>docker run --rm -v /home/soporte/BIOINFOR/ALIGNMENT:/data dromero93/samtools index -@ 35 -c I06_POOLS_T_PESQ_1.bam</v>
      </c>
      <c r="F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/rawdata/I06_POOLS_T_PESQ_1.bam | bcftools call --threads 35 -mv -Oz -o /data/I06_POOLS_T_PESQ_1.vcf'</v>
      </c>
    </row>
    <row r="7" spans="1:7" x14ac:dyDescent="0.25">
      <c r="A7" t="s">
        <v>218</v>
      </c>
      <c r="B7" t="s">
        <v>276</v>
      </c>
      <c r="C7">
        <v>1</v>
      </c>
      <c r="D7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/data/M02_POOLR_T_PESQ_1 --outSAMtype BAM SortedByCoordinate --outBAMsortingThreadN 35 --readFilesIn /rawdata/M02_AgroSur/M02_POOLR_T_PESQ_1_R1_tnonrRNA.fastq.gz /rawdata/M02_AgroSur/M02_POOLR_T_PESQ_1_R2_tnonrRNA.fastq.gz</v>
      </c>
      <c r="E7" t="str">
        <f t="shared" si="1"/>
        <v>docker run --rm -v /home/soporte/BIOINFOR/ALIGNMENT:/data dromero93/samtools index -@ 35 -c M02_POOLR_T_PESQ_1.bam</v>
      </c>
      <c r="F7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/rawdata/M02_POOLR_T_PESQ_1.bam | bcftools call --threads 35 -mv -Oz -o /data/M02_POOLR_T_PESQ_1.vcf'</v>
      </c>
    </row>
    <row r="8" spans="1:7" x14ac:dyDescent="0.25">
      <c r="A8" t="s">
        <v>219</v>
      </c>
      <c r="B8" t="s">
        <v>276</v>
      </c>
      <c r="C8">
        <v>1</v>
      </c>
      <c r="D8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/data/M02_POOLS_T_PESQ_1 --outSAMtype BAM SortedByCoordinate --outBAMsortingThreadN 35 --readFilesIn /rawdata/M02_AgroSur/M02_POOLS_T_PESQ_1_R1_tnonrRNA.fastq.gz /rawdata/M02_AgroSur/M02_POOLS_T_PESQ_1_R2_tnonrRNA.fastq.gz</v>
      </c>
      <c r="E8" t="str">
        <f t="shared" si="1"/>
        <v>docker run --rm -v /home/soporte/BIOINFOR/ALIGNMENT:/data dromero93/samtools index -@ 35 -c M02_POOLS_T_PESQ_1.bam</v>
      </c>
      <c r="F8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/rawdata/M02_POOLS_T_PESQ_1.bam | bcftools call --threads 35 -mv -Oz -o /data/M02_POOLS_T_PESQ_1.vcf'</v>
      </c>
    </row>
    <row r="9" spans="1:7" x14ac:dyDescent="0.25">
      <c r="A9" t="s">
        <v>226</v>
      </c>
      <c r="B9" t="s">
        <v>277</v>
      </c>
      <c r="C9">
        <v>1</v>
      </c>
      <c r="D9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/data/M100_POOLR_T_USAL_1 --outSAMtype BAM SortedByCoordinate --outBAMsortingThreadN 35 --readFilesIn /rawdata/M100_Santero_AgroSur/M100_POOLR_T_USAL_1_R1_tnonrRNA.fastq.gz /rawdata/M100_Santero_AgroSur/M100_POOLR_T_USAL_1_R2_tnonrRNA.fastq.gz</v>
      </c>
      <c r="E9" t="str">
        <f t="shared" si="1"/>
        <v>docker run --rm -v /home/soporte/BIOINFOR/ALIGNMENT:/data dromero93/samtools index -@ 35 -c M100_POOLR_T_USAL_1.bam</v>
      </c>
      <c r="F9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/rawdata/M100_POOLR_T_USAL_1.bam | bcftools call --threads 35 -mv -Oz -o /data/M100_POOLR_T_USAL_1.vcf'</v>
      </c>
    </row>
    <row r="10" spans="1:7" x14ac:dyDescent="0.25">
      <c r="A10" t="s">
        <v>227</v>
      </c>
      <c r="B10" t="s">
        <v>277</v>
      </c>
      <c r="C10">
        <v>1</v>
      </c>
      <c r="D10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/data/M100_POOLS_T_USAL_1 --outSAMtype BAM SortedByCoordinate --outBAMsortingThreadN 35 --readFilesIn /rawdata/M100_Santero_AgroSur/M100_POOLS_T_USAL_1_R1_tnonrRNA.fastq.gz /rawdata/M100_Santero_AgroSur/M100_POOLS_T_USAL_1_R2_tnonrRNA.fastq.gz</v>
      </c>
      <c r="E10" t="str">
        <f t="shared" si="1"/>
        <v>docker run --rm -v /home/soporte/BIOINFOR/ALIGNMENT:/data dromero93/samtools index -@ 35 -c M100_POOLS_T_USAL_1.bam</v>
      </c>
      <c r="F10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/rawdata/M100_POOLS_T_USAL_1.bam | bcftools call --threads 35 -mv -Oz -o /data/M100_POOLS_T_USAL_1.vcf'</v>
      </c>
    </row>
    <row r="11" spans="1:7" x14ac:dyDescent="0.25">
      <c r="A11" t="s">
        <v>233</v>
      </c>
      <c r="B11" t="s">
        <v>278</v>
      </c>
      <c r="C11">
        <v>1</v>
      </c>
      <c r="D11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/data/MJP1_INFECT_T_PESQ_1 --outSAMtype BAM SortedByCoordinate --outBAMsortingThreadN 35 --readFilesIn /rawdata/B03_AgroPrecozT3/MJP1_INFECT_T_PESQ_1_R1_tnonrRNA.fastq.gz /rawdata/B03_AgroPrecozT3/MJP1_INFECT_T_PESQ_1_R2_tnonrRNA.fastq.gz</v>
      </c>
      <c r="E11" t="str">
        <f t="shared" si="1"/>
        <v>docker run --rm -v /home/soporte/BIOINFOR/ALIGNMENT:/data dromero93/samtools index -@ 35 -c MJP1_INFECT_T_PESQ_1.bam</v>
      </c>
      <c r="F11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/rawdata/MJP1_INFECT_T_PESQ_1.bam | bcftools call --threads 35 -mv -Oz -o /data/MJP1_INFECT_T_PESQ_1.vcf'</v>
      </c>
    </row>
    <row r="12" spans="1:7" x14ac:dyDescent="0.25">
      <c r="A12" t="s">
        <v>234</v>
      </c>
      <c r="B12" t="s">
        <v>278</v>
      </c>
      <c r="C12">
        <v>1</v>
      </c>
      <c r="D12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/data/MJP1_NOINFECT_T_PESQ_2 --outSAMtype BAM SortedByCoordinate --outBAMsortingThreadN 35 --readFilesIn /rawdata/B03_AgroPrecozT3/MJP1_NOINFECT_T_PESQ_2_R1_tnonrRNA.fastq.gz /rawdata/B03_AgroPrecozT3/MJP1_NOINFECT_T_PESQ_2_R2_tnonrRNA.fastq.gz</v>
      </c>
      <c r="E12" t="str">
        <f t="shared" si="1"/>
        <v>docker run --rm -v /home/soporte/BIOINFOR/ALIGNMENT:/data dromero93/samtools index -@ 35 -c MJP1_NOINFECT_T_PESQ_2.bam</v>
      </c>
      <c r="F12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/rawdata/MJP1_NOINFECT_T_PESQ_2.bam | bcftools call --threads 35 -mv -Oz -o /data/MJP1_NOINFECT_T_PESQ_2.vcf'</v>
      </c>
    </row>
    <row r="13" spans="1:7" x14ac:dyDescent="0.25">
      <c r="A13" t="s">
        <v>235</v>
      </c>
      <c r="B13" t="s">
        <v>278</v>
      </c>
      <c r="C13">
        <v>1</v>
      </c>
      <c r="D1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/data/MT13_INFECT_T_PESQ_1 --outSAMtype BAM SortedByCoordinate --outBAMsortingThreadN 35 --readFilesIn /rawdata/B03_AgroPrecozT3/MT13_INFECT_T_PESQ_1_R1_tnonrRNA.fastq.gz /rawdata/B03_AgroPrecozT3/MT13_INFECT_T_PESQ_1_R2_tnonrRNA.fastq.gz</v>
      </c>
      <c r="E13" t="str">
        <f t="shared" si="1"/>
        <v>docker run --rm -v /home/soporte/BIOINFOR/ALIGNMENT:/data dromero93/samtools index -@ 35 -c MT13_INFECT_T_PESQ_1.bam</v>
      </c>
      <c r="F13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/rawdata/MT13_INFECT_T_PESQ_1.bam | bcftools call --threads 35 -mv -Oz -o /data/MT13_INFECT_T_PESQ_1.vcf'</v>
      </c>
    </row>
    <row r="14" spans="1:7" x14ac:dyDescent="0.25">
      <c r="A14" t="s">
        <v>236</v>
      </c>
      <c r="B14" t="s">
        <v>278</v>
      </c>
      <c r="C14">
        <v>1</v>
      </c>
      <c r="D1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/data/MT13_NOINFECT_T_PESQ_2 --outSAMtype BAM SortedByCoordinate --outBAMsortingThreadN 35 --readFilesIn /rawdata/B03_AgroPrecozT3/MT13_NOINFECT_T_PESQ_2_R1_tnonrRNA.fastq.gz /rawdata/B03_AgroPrecozT3/MT13_NOINFECT_T_PESQ_2_R2_tnonrRNA.fastq.gz</v>
      </c>
      <c r="E14" t="str">
        <f t="shared" si="1"/>
        <v>docker run --rm -v /home/soporte/BIOINFOR/ALIGNMENT:/data dromero93/samtools index -@ 35 -c MT13_NOINFECT_T_PESQ_2.bam</v>
      </c>
      <c r="F1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/rawdata/MT13_NOINFECT_T_PESQ_2.bam | bcftools call --threads 35 -mv -Oz -o /data/MT13_NOINFECT_T_PESQ_2.vcf'</v>
      </c>
    </row>
    <row r="15" spans="1:7" x14ac:dyDescent="0.25">
      <c r="A15" t="s">
        <v>279</v>
      </c>
      <c r="B15" t="s">
        <v>281</v>
      </c>
      <c r="C15">
        <v>1</v>
      </c>
      <c r="D1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/data/MA35_INFECT_T_PESQ_1 --outSAMtype BAM SortedByCoordinate --outBAMsortingThreadN 35 --readFilesIn /rawdata/B114_Talarrubias_AgroPrecozT3/MA35_INFECT_T_PESQ_1_R1_tnonrRNA.fastq.gz /rawdata/B114_Talarrubias_AgroPrecozT3/MA35_INFECT_T_PESQ_1_R2_tnonrRNA.fastq.gz</v>
      </c>
      <c r="E15" t="str">
        <f t="shared" si="1"/>
        <v>docker run --rm -v /home/soporte/BIOINFOR/ALIGNMENT:/data dromero93/samtools index -@ 35 -c MA35_INFECT_T_PESQ_1.bam</v>
      </c>
      <c r="F1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/rawdata/MA35_INFECT_T_PESQ_1.bam | bcftools call --threads 35 -mv -Oz -o /data/MA35_INFECT_T_PESQ_1.vcf'</v>
      </c>
    </row>
    <row r="16" spans="1:7" x14ac:dyDescent="0.25">
      <c r="A16" t="s">
        <v>280</v>
      </c>
      <c r="B16" t="s">
        <v>281</v>
      </c>
      <c r="C16">
        <v>1</v>
      </c>
      <c r="D16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/data/MA35_NOINFECT_T_PESQ_2 --outSAMtype BAM SortedByCoordinate --outBAMsortingThreadN 35 --readFilesIn /rawdata/B114_Talarrubias_AgroPrecozT3/MA35_NOINFECT_T_PESQ_2_R1_tnonrRNA.fastq.gz /rawdata/B114_Talarrubias_AgroPrecozT3/MA35_NOINFECT_T_PESQ_2_R2_tnonrRNA.fastq.gz</v>
      </c>
      <c r="E16" t="str">
        <f t="shared" si="1"/>
        <v>docker run --rm -v /home/soporte/BIOINFOR/ALIGNMENT:/data dromero93/samtools index -@ 35 -c MA35_NOINFECT_T_PESQ_2.bam</v>
      </c>
      <c r="F1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/rawdata/MA35_NOINFECT_T_PESQ_2.bam | bcftools call --threads 35 -mv -Oz -o /data/MA35_NOINFECT_T_PESQ_2.vcf'</v>
      </c>
    </row>
    <row r="17" spans="1:6" x14ac:dyDescent="0.25">
      <c r="A17" t="s">
        <v>328</v>
      </c>
      <c r="B17" t="s">
        <v>282</v>
      </c>
      <c r="C17">
        <v>1</v>
      </c>
      <c r="D17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/data/R217_INFECT_T_PESQ_1 --outSAMtype BAM SortedByCoordinate --outBAMsortingThreadN 35 --readFilesIn /rawdata/R217_Innovador/R217_INFECT_T_PESQ_1_R1_tnonrRNA.fastq.gz /rawdata/R217_Innovador/R217_INFECT_T_PESQ_1_R2_tnonrRNA.fastq.gz</v>
      </c>
      <c r="E17" t="str">
        <f t="shared" si="1"/>
        <v>docker run --rm -v /home/soporte/BIOINFOR/ALIGNMENT:/data dromero93/samtools index -@ 35 -c R217_INFECT_T_PESQ_1.bam</v>
      </c>
      <c r="F17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/rawdata/R217_INFECT_T_PESQ_1.bam | bcftools call --threads 35 -mv -Oz -o /data/R217_INFECT_T_PESQ_1.vcf'</v>
      </c>
    </row>
    <row r="18" spans="1:6" x14ac:dyDescent="0.25">
      <c r="A18" t="s">
        <v>329</v>
      </c>
      <c r="B18" t="s">
        <v>282</v>
      </c>
      <c r="C18">
        <v>1</v>
      </c>
      <c r="D18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/data/R217_NOINFECT_T_PESQ_2 --outSAMtype BAM SortedByCoordinate --outBAMsortingThreadN 35 --readFilesIn /rawdata/R217_Innovador/R217_NOINFECT_T_PESQ_2_R1_tnonrRNA.fastq.gz /rawdata/R217_Innovador/R217_NOINFECT_T_PESQ_2_R2_tnonrRNA.fastq.gz</v>
      </c>
      <c r="E18" t="str">
        <f t="shared" si="1"/>
        <v>docker run --rm -v /home/soporte/BIOINFOR/ALIGNMENT:/data dromero93/samtools index -@ 35 -c R217_NOINFECT_T_PESQ_2.bam</v>
      </c>
      <c r="F18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/rawdata/R217_NOINFECT_T_PESQ_2.bam | bcftools call --threads 35 -mv -Oz -o /data/R217_NOINFECT_T_PESQ_2.vcf'</v>
      </c>
    </row>
    <row r="19" spans="1:6" x14ac:dyDescent="0.25">
      <c r="A19" t="s">
        <v>330</v>
      </c>
      <c r="B19" t="s">
        <v>288</v>
      </c>
      <c r="C19">
        <v>1</v>
      </c>
      <c r="D19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/data/S74_INFECT_T_PESQ_1 --outSAMtype BAM SortedByCoordinate --outBAMsortingThreadN 35 --readFilesIn /rawdata/R175_S74/S74_INFECT_T_PESQ_1_R1_tnonrRNA.fastq.gz /rawdata/R175_S74/S74_INFECT_T_PESQ_1_R2_tnonrRNA.fastq.gz</v>
      </c>
      <c r="E19" t="str">
        <f t="shared" si="1"/>
        <v>docker run --rm -v /home/soporte/BIOINFOR/ALIGNMENT:/data dromero93/samtools index -@ 35 -c S74_INFECT_T_PESQ_1.bam</v>
      </c>
      <c r="F19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/rawdata/S74_INFECT_T_PESQ_1.bam | bcftools call --threads 35 -mv -Oz -o /data/S74_INFECT_T_PESQ_1.vcf'</v>
      </c>
    </row>
    <row r="20" spans="1:6" x14ac:dyDescent="0.25">
      <c r="A20" t="s">
        <v>331</v>
      </c>
      <c r="B20" t="s">
        <v>288</v>
      </c>
      <c r="C20">
        <v>1</v>
      </c>
      <c r="D20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/data/S74_NOINFECT_T_PESQ_1 --outSAMtype BAM SortedByCoordinate --outBAMsortingThreadN 35 --readFilesIn /rawdata/R175_S74/S74_NOINFECT_T_PESQ_1_R1_tnonrRNA.fastq.gz /rawdata/R175_S74/S74_NOINFECT_T_PESQ_1_R2_tnonrRNA.fastq.gz</v>
      </c>
      <c r="E20" t="str">
        <f t="shared" si="1"/>
        <v>docker run --rm -v /home/soporte/BIOINFOR/ALIGNMENT:/data dromero93/samtools index -@ 35 -c S74_NOINFECT_T_PESQ_1.bam</v>
      </c>
      <c r="F20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/rawdata/S74_NOINFECT_T_PESQ_1.bam | bcftools call --threads 35 -mv -Oz -o /data/S74_NOINFECT_T_PESQ_1.vcf'</v>
      </c>
    </row>
    <row r="21" spans="1:6" x14ac:dyDescent="0.25">
      <c r="A21" t="s">
        <v>133</v>
      </c>
      <c r="B21" t="s">
        <v>275</v>
      </c>
      <c r="C21">
        <v>2</v>
      </c>
      <c r="D21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/data/ALTA_MS_T_PESQ_1 --outSAMtype BAM SortedByCoordinate --outBAMsortingThreadN 35 --readFilesIn /rawdata/I06_Pesquero/ALTA_MS_T_PESQ_1_R1_tnonrRNA.fastq.gz /rawdata/I06_Pesquero/ALTA_MS_T_PESQ_1_R2_tnonrRNA.fastq.gz</v>
      </c>
      <c r="E21" t="str">
        <f t="shared" si="1"/>
        <v>docker run --rm -v /home/soporte/BIOINFOR/ALIGNMENT:/data dromero93/samtools index -@ 35 -c ALTA_MS_T_PESQ_1.bam</v>
      </c>
      <c r="F21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/rawdata/ALTA_MS_T_PESQ_1.bam | bcftools call --threads 35 -mv -Oz -o /data/ALTA_MS_T_PESQ_1.vcf'</v>
      </c>
    </row>
    <row r="22" spans="1:6" x14ac:dyDescent="0.25">
      <c r="A22" t="s">
        <v>134</v>
      </c>
      <c r="B22" t="s">
        <v>275</v>
      </c>
      <c r="C22">
        <v>2</v>
      </c>
      <c r="D22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/data/ALTA_MS_T_PESQ_2 --outSAMtype BAM SortedByCoordinate --outBAMsortingThreadN 35 --readFilesIn /rawdata/I06_Pesquero/ALTA_MS_T_PESQ_2_R1_tnonrRNA.fastq.gz /rawdata/I06_Pesquero/ALTA_MS_T_PESQ_2_R2_tnonrRNA.fastq.gz</v>
      </c>
      <c r="E22" t="str">
        <f t="shared" si="1"/>
        <v>docker run --rm -v /home/soporte/BIOINFOR/ALIGNMENT:/data dromero93/samtools index -@ 35 -c ALTA_MS_T_PESQ_2.bam</v>
      </c>
      <c r="F22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/rawdata/ALTA_MS_T_PESQ_2.bam | bcftools call --threads 35 -mv -Oz -o /data/ALTA_MS_T_PESQ_2.vcf'</v>
      </c>
    </row>
    <row r="23" spans="1:6" x14ac:dyDescent="0.25">
      <c r="A23" t="s">
        <v>135</v>
      </c>
      <c r="B23" t="s">
        <v>275</v>
      </c>
      <c r="C23">
        <v>2</v>
      </c>
      <c r="D2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/data/ALTA_MS_T_PESQ_3 --outSAMtype BAM SortedByCoordinate --outBAMsortingThreadN 35 --readFilesIn /rawdata/I06_Pesquero/ALTA_MS_T_PESQ_3_R1_tnonrRNA.fastq.gz /rawdata/I06_Pesquero/ALTA_MS_T_PESQ_3_R2_tnonrRNA.fastq.gz</v>
      </c>
      <c r="E23" t="str">
        <f t="shared" si="1"/>
        <v>docker run --rm -v /home/soporte/BIOINFOR/ALIGNMENT:/data dromero93/samtools index -@ 35 -c ALTA_MS_T_PESQ_3.bam</v>
      </c>
      <c r="F23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/rawdata/ALTA_MS_T_PESQ_3.bam | bcftools call --threads 35 -mv -Oz -o /data/ALTA_MS_T_PESQ_3.vcf'</v>
      </c>
    </row>
    <row r="24" spans="1:6" x14ac:dyDescent="0.25">
      <c r="A24" t="s">
        <v>136</v>
      </c>
      <c r="B24" t="s">
        <v>275</v>
      </c>
      <c r="C24">
        <v>2</v>
      </c>
      <c r="D2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/data/ALTA_MS_T_PESQ_4 --outSAMtype BAM SortedByCoordinate --outBAMsortingThreadN 35 --readFilesIn /rawdata/I06_Pesquero/ALTA_MS_T_PESQ_4_R1_tnonrRNA.fastq.gz /rawdata/I06_Pesquero/ALTA_MS_T_PESQ_4_R2_tnonrRNA.fastq.gz</v>
      </c>
      <c r="E24" t="str">
        <f t="shared" si="1"/>
        <v>docker run --rm -v /home/soporte/BIOINFOR/ALIGNMENT:/data dromero93/samtools index -@ 35 -c ALTA_MS_T_PESQ_4.bam</v>
      </c>
      <c r="F2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/rawdata/ALTA_MS_T_PESQ_4.bam | bcftools call --threads 35 -mv -Oz -o /data/ALTA_MS_T_PESQ_4.vcf'</v>
      </c>
    </row>
    <row r="25" spans="1:6" x14ac:dyDescent="0.25">
      <c r="A25" t="s">
        <v>163</v>
      </c>
      <c r="B25" t="s">
        <v>275</v>
      </c>
      <c r="C25">
        <v>2</v>
      </c>
      <c r="D2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/data/BAJA_MS_T_PESQ_1 --outSAMtype BAM SortedByCoordinate --outBAMsortingThreadN 35 --readFilesIn /rawdata/I06_Pesquero/BAJA_MS_T_PESQ_1_R1_tnonrRNA.fastq.gz /rawdata/I06_Pesquero/BAJA_MS_T_PESQ_1_R2_tnonrRNA.fastq.gz</v>
      </c>
      <c r="E25" t="str">
        <f t="shared" si="1"/>
        <v>docker run --rm -v /home/soporte/BIOINFOR/ALIGNMENT:/data dromero93/samtools index -@ 35 -c BAJA_MS_T_PESQ_1.bam</v>
      </c>
      <c r="F2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/rawdata/BAJA_MS_T_PESQ_1.bam | bcftools call --threads 35 -mv -Oz -o /data/BAJA_MS_T_PESQ_1.vcf'</v>
      </c>
    </row>
    <row r="26" spans="1:6" x14ac:dyDescent="0.25">
      <c r="A26" t="s">
        <v>164</v>
      </c>
      <c r="B26" t="s">
        <v>275</v>
      </c>
      <c r="C26">
        <v>2</v>
      </c>
      <c r="D26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/data/BAJA_MS_T_PESQ_2 --outSAMtype BAM SortedByCoordinate --outBAMsortingThreadN 35 --readFilesIn /rawdata/I06_Pesquero/BAJA_MS_T_PESQ_2_R1_tnonrRNA.fastq.gz /rawdata/I06_Pesquero/BAJA_MS_T_PESQ_2_R2_tnonrRNA.fastq.gz</v>
      </c>
      <c r="E26" t="str">
        <f t="shared" si="1"/>
        <v>docker run --rm -v /home/soporte/BIOINFOR/ALIGNMENT:/data dromero93/samtools index -@ 35 -c BAJA_MS_T_PESQ_2.bam</v>
      </c>
      <c r="F2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/rawdata/BAJA_MS_T_PESQ_2.bam | bcftools call --threads 35 -mv -Oz -o /data/BAJA_MS_T_PESQ_2.vcf'</v>
      </c>
    </row>
    <row r="27" spans="1:6" x14ac:dyDescent="0.25">
      <c r="A27" t="s">
        <v>165</v>
      </c>
      <c r="B27" t="s">
        <v>275</v>
      </c>
      <c r="C27">
        <v>2</v>
      </c>
      <c r="D27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/data/BAJA_MS_T_PESQ_3 --outSAMtype BAM SortedByCoordinate --outBAMsortingThreadN 35 --readFilesIn /rawdata/I06_Pesquero/BAJA_MS_T_PESQ_3_R1_tnonrRNA.fastq.gz /rawdata/I06_Pesquero/BAJA_MS_T_PESQ_3_R2_tnonrRNA.fastq.gz</v>
      </c>
      <c r="E27" t="str">
        <f t="shared" si="1"/>
        <v>docker run --rm -v /home/soporte/BIOINFOR/ALIGNMENT:/data dromero93/samtools index -@ 35 -c BAJA_MS_T_PESQ_3.bam</v>
      </c>
      <c r="F27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/rawdata/BAJA_MS_T_PESQ_3.bam | bcftools call --threads 35 -mv -Oz -o /data/BAJA_MS_T_PESQ_3.vcf'</v>
      </c>
    </row>
    <row r="28" spans="1:6" x14ac:dyDescent="0.25">
      <c r="A28" t="s">
        <v>166</v>
      </c>
      <c r="B28" t="s">
        <v>275</v>
      </c>
      <c r="C28">
        <v>2</v>
      </c>
      <c r="D28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/data/BAJA_MS_T_PESQ_4 --outSAMtype BAM SortedByCoordinate --outBAMsortingThreadN 35 --readFilesIn /rawdata/I06_Pesquero/BAJA_MS_T_PESQ_4_R1_tnonrRNA.fastq.gz /rawdata/I06_Pesquero/BAJA_MS_T_PESQ_4_R2_tnonrRNA.fastq.gz</v>
      </c>
      <c r="E28" t="str">
        <f t="shared" si="1"/>
        <v>docker run --rm -v /home/soporte/BIOINFOR/ALIGNMENT:/data dromero93/samtools index -@ 35 -c BAJA_MS_T_PESQ_4.bam</v>
      </c>
      <c r="F28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/rawdata/BAJA_MS_T_PESQ_4.bam | bcftools call --threads 35 -mv -Oz -o /data/BAJA_MS_T_PESQ_4.vcf'</v>
      </c>
    </row>
    <row r="29" spans="1:6" x14ac:dyDescent="0.25">
      <c r="A29" t="s">
        <v>181</v>
      </c>
      <c r="B29" t="s">
        <v>275</v>
      </c>
      <c r="C29">
        <v>2</v>
      </c>
      <c r="D29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/data/I06_MS16_T_PESQ_1 --outSAMtype BAM SortedByCoordinate --outBAMsortingThreadN 35 --readFilesIn /rawdata/I06_Pesquero/I06_MS16_T_PESQ_1_R1_tnonrRNA.fastq.gz /rawdata/I06_Pesquero/I06_MS16_T_PESQ_1_R2_tnonrRNA.fastq.gz</v>
      </c>
      <c r="E29" t="str">
        <f t="shared" si="1"/>
        <v>docker run --rm -v /home/soporte/BIOINFOR/ALIGNMENT:/data dromero93/samtools index -@ 35 -c I06_MS16_T_PESQ_1.bam</v>
      </c>
      <c r="F29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/rawdata/I06_MS16_T_PESQ_1.bam | bcftools call --threads 35 -mv -Oz -o /data/I06_MS16_T_PESQ_1.vcf'</v>
      </c>
    </row>
    <row r="30" spans="1:6" x14ac:dyDescent="0.25">
      <c r="A30" t="s">
        <v>182</v>
      </c>
      <c r="B30" t="s">
        <v>275</v>
      </c>
      <c r="C30">
        <v>2</v>
      </c>
      <c r="D30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/data/I06_MS17-22_T_PESQ_1 --outSAMtype BAM SortedByCoordinate --outBAMsortingThreadN 35 --readFilesIn /rawdata/I06_Pesquero/I06_MS17-22_T_PESQ_1_R1_tnonrRNA.fastq.gz /rawdata/I06_Pesquero/I06_MS17-22_T_PESQ_1_R2_tnonrRNA.fastq.gz</v>
      </c>
      <c r="E30" t="str">
        <f t="shared" si="1"/>
        <v>docker run --rm -v /home/soporte/BIOINFOR/ALIGNMENT:/data dromero93/samtools index -@ 35 -c I06_MS17-22_T_PESQ_1.bam</v>
      </c>
      <c r="F30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/rawdata/I06_MS17-22_T_PESQ_1.bam | bcftools call --threads 35 -mv -Oz -o /data/I06_MS17-22_T_PESQ_1.vcf'</v>
      </c>
    </row>
    <row r="31" spans="1:6" x14ac:dyDescent="0.25">
      <c r="A31" t="s">
        <v>183</v>
      </c>
      <c r="B31" t="s">
        <v>275</v>
      </c>
      <c r="C31">
        <v>2</v>
      </c>
      <c r="D31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/data/I06_MS23-24_T_PESQ_1 --outSAMtype BAM SortedByCoordinate --outBAMsortingThreadN 35 --readFilesIn /rawdata/I06_Pesquero/I06_MS23-24_T_PESQ_1_R1_tnonrRNA.fastq.gz /rawdata/I06_Pesquero/I06_MS23-24_T_PESQ_1_R2_tnonrRNA.fastq.gz</v>
      </c>
      <c r="E31" t="str">
        <f t="shared" si="1"/>
        <v>docker run --rm -v /home/soporte/BIOINFOR/ALIGNMENT:/data dromero93/samtools index -@ 35 -c I06_MS23-24_T_PESQ_1.bam</v>
      </c>
      <c r="F31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/rawdata/I06_MS23-24_T_PESQ_1.bam | bcftools call --threads 35 -mv -Oz -o /data/I06_MS23-24_T_PESQ_1.vcf'</v>
      </c>
    </row>
    <row r="32" spans="1:6" x14ac:dyDescent="0.25">
      <c r="A32" t="s">
        <v>184</v>
      </c>
      <c r="B32" t="s">
        <v>275</v>
      </c>
      <c r="C32">
        <v>2</v>
      </c>
      <c r="D32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/data/I06_MS25-26_T_PESQ_1 --outSAMtype BAM SortedByCoordinate --outBAMsortingThreadN 35 --readFilesIn /rawdata/I06_Pesquero/I06_MS25-26_T_PESQ_1_R1_tnonrRNA.fastq.gz /rawdata/I06_Pesquero/I06_MS25-26_T_PESQ_1_R2_tnonrRNA.fastq.gz</v>
      </c>
      <c r="E32" t="str">
        <f t="shared" si="1"/>
        <v>docker run --rm -v /home/soporte/BIOINFOR/ALIGNMENT:/data dromero93/samtools index -@ 35 -c I06_MS25-26_T_PESQ_1.bam</v>
      </c>
      <c r="F32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/rawdata/I06_MS25-26_T_PESQ_1.bam | bcftools call --threads 35 -mv -Oz -o /data/I06_MS25-26_T_PESQ_1.vcf'</v>
      </c>
    </row>
    <row r="33" spans="1:6" x14ac:dyDescent="0.25">
      <c r="A33" t="s">
        <v>185</v>
      </c>
      <c r="B33" t="s">
        <v>275</v>
      </c>
      <c r="C33">
        <v>2</v>
      </c>
      <c r="D3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/data/I06_MS27_T_PESQ_1 --outSAMtype BAM SortedByCoordinate --outBAMsortingThreadN 35 --readFilesIn /rawdata/I06_Pesquero/I06_MS27_T_PESQ_1_R1_tnonrRNA.fastq.gz /rawdata/I06_Pesquero/I06_MS27_T_PESQ_1_R2_tnonrRNA.fastq.gz</v>
      </c>
      <c r="E33" t="str">
        <f t="shared" si="1"/>
        <v>docker run --rm -v /home/soporte/BIOINFOR/ALIGNMENT:/data dromero93/samtools index -@ 35 -c I06_MS27_T_PESQ_1.bam</v>
      </c>
      <c r="F33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/rawdata/I06_MS27_T_PESQ_1.bam | bcftools call --threads 35 -mv -Oz -o /data/I06_MS27_T_PESQ_1.vcf'</v>
      </c>
    </row>
    <row r="34" spans="1:6" x14ac:dyDescent="0.25">
      <c r="A34" t="s">
        <v>186</v>
      </c>
      <c r="B34" t="s">
        <v>275</v>
      </c>
      <c r="C34">
        <v>2</v>
      </c>
      <c r="D3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/data/I06_MS_ALTA_T_PESQ_1 --outSAMtype BAM SortedByCoordinate --outBAMsortingThreadN 35 --readFilesIn /rawdata/I06_Pesquero/I06_MS_ALTA_T_PESQ_1_R1_tnonrRNA.fastq.gz /rawdata/I06_Pesquero/I06_MS_ALTA_T_PESQ_1_R2_tnonrRNA.fastq.gz</v>
      </c>
      <c r="E34" t="str">
        <f t="shared" si="1"/>
        <v>docker run --rm -v /home/soporte/BIOINFOR/ALIGNMENT:/data dromero93/samtools index -@ 35 -c I06_MS_ALTA_T_PESQ_1.bam</v>
      </c>
      <c r="F3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/rawdata/I06_MS_ALTA_T_PESQ_1.bam | bcftools call --threads 35 -mv -Oz -o /data/I06_MS_ALTA_T_PESQ_1.vcf'</v>
      </c>
    </row>
    <row r="35" spans="1:6" x14ac:dyDescent="0.25">
      <c r="A35" t="s">
        <v>187</v>
      </c>
      <c r="B35" t="s">
        <v>275</v>
      </c>
      <c r="C35">
        <v>2</v>
      </c>
      <c r="D3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/data/I06_MS_ALTA_T_PESQ_2 --outSAMtype BAM SortedByCoordinate --outBAMsortingThreadN 35 --readFilesIn /rawdata/I06_Pesquero/I06_MS_ALTA_T_PESQ_2_R1_tnonrRNA.fastq.gz /rawdata/I06_Pesquero/I06_MS_ALTA_T_PESQ_2_R2_tnonrRNA.fastq.gz</v>
      </c>
      <c r="E35" t="str">
        <f t="shared" si="1"/>
        <v>docker run --rm -v /home/soporte/BIOINFOR/ALIGNMENT:/data dromero93/samtools index -@ 35 -c I06_MS_ALTA_T_PESQ_2.bam</v>
      </c>
      <c r="F3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/rawdata/I06_MS_ALTA_T_PESQ_2.bam | bcftools call --threads 35 -mv -Oz -o /data/I06_MS_ALTA_T_PESQ_2.vcf'</v>
      </c>
    </row>
    <row r="36" spans="1:6" x14ac:dyDescent="0.25">
      <c r="A36" t="s">
        <v>188</v>
      </c>
      <c r="B36" t="s">
        <v>275</v>
      </c>
      <c r="C36">
        <v>2</v>
      </c>
      <c r="D36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/data/I06_MS_ALTA_T_PESQ_3 --outSAMtype BAM SortedByCoordinate --outBAMsortingThreadN 35 --readFilesIn /rawdata/I06_Pesquero/I06_MS_ALTA_T_PESQ_3_R1_tnonrRNA.fastq.gz /rawdata/I06_Pesquero/I06_MS_ALTA_T_PESQ_3_R2_tnonrRNA.fastq.gz</v>
      </c>
      <c r="E36" t="str">
        <f t="shared" si="1"/>
        <v>docker run --rm -v /home/soporte/BIOINFOR/ALIGNMENT:/data dromero93/samtools index -@ 35 -c I06_MS_ALTA_T_PESQ_3.bam</v>
      </c>
      <c r="F3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/rawdata/I06_MS_ALTA_T_PESQ_3.bam | bcftools call --threads 35 -mv -Oz -o /data/I06_MS_ALTA_T_PESQ_3.vcf'</v>
      </c>
    </row>
    <row r="37" spans="1:6" x14ac:dyDescent="0.25">
      <c r="A37" t="s">
        <v>189</v>
      </c>
      <c r="B37" t="s">
        <v>275</v>
      </c>
      <c r="C37">
        <v>2</v>
      </c>
      <c r="D37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/data/I06_MS_ALTA_T_PESQ_4 --outSAMtype BAM SortedByCoordinate --outBAMsortingThreadN 35 --readFilesIn /rawdata/I06_Pesquero/I06_MS_ALTA_T_PESQ_4_R1_tnonrRNA.fastq.gz /rawdata/I06_Pesquero/I06_MS_ALTA_T_PESQ_4_R2_tnonrRNA.fastq.gz</v>
      </c>
      <c r="E37" t="str">
        <f t="shared" si="1"/>
        <v>docker run --rm -v /home/soporte/BIOINFOR/ALIGNMENT:/data dromero93/samtools index -@ 35 -c I06_MS_ALTA_T_PESQ_4.bam</v>
      </c>
      <c r="F37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/rawdata/I06_MS_ALTA_T_PESQ_4.bam | bcftools call --threads 35 -mv -Oz -o /data/I06_MS_ALTA_T_PESQ_4.vcf'</v>
      </c>
    </row>
    <row r="38" spans="1:6" x14ac:dyDescent="0.25">
      <c r="A38" t="s">
        <v>190</v>
      </c>
      <c r="B38" t="s">
        <v>275</v>
      </c>
      <c r="C38">
        <v>2</v>
      </c>
      <c r="D38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/data/I06_MS_BAJA_T_PESQ_1 --outSAMtype BAM SortedByCoordinate --outBAMsortingThreadN 35 --readFilesIn /rawdata/I06_Pesquero/I06_MS_BAJA_T_PESQ_1_R1_tnonrRNA.fastq.gz /rawdata/I06_Pesquero/I06_MS_BAJA_T_PESQ_1_R2_tnonrRNA.fastq.gz</v>
      </c>
      <c r="E38" t="str">
        <f t="shared" si="1"/>
        <v>docker run --rm -v /home/soporte/BIOINFOR/ALIGNMENT:/data dromero93/samtools index -@ 35 -c I06_MS_BAJA_T_PESQ_1.bam</v>
      </c>
      <c r="F38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/rawdata/I06_MS_BAJA_T_PESQ_1.bam | bcftools call --threads 35 -mv -Oz -o /data/I06_MS_BAJA_T_PESQ_1.vcf'</v>
      </c>
    </row>
    <row r="39" spans="1:6" x14ac:dyDescent="0.25">
      <c r="A39" t="s">
        <v>191</v>
      </c>
      <c r="B39" t="s">
        <v>275</v>
      </c>
      <c r="C39">
        <v>2</v>
      </c>
      <c r="D39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/data/I06_MS_BAJA_T_PESQ_2 --outSAMtype BAM SortedByCoordinate --outBAMsortingThreadN 35 --readFilesIn /rawdata/I06_Pesquero/I06_MS_BAJA_T_PESQ_2_R1_tnonrRNA.fastq.gz /rawdata/I06_Pesquero/I06_MS_BAJA_T_PESQ_2_R2_tnonrRNA.fastq.gz</v>
      </c>
      <c r="E39" t="str">
        <f t="shared" si="1"/>
        <v>docker run --rm -v /home/soporte/BIOINFOR/ALIGNMENT:/data dromero93/samtools index -@ 35 -c I06_MS_BAJA_T_PESQ_2.bam</v>
      </c>
      <c r="F39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/rawdata/I06_MS_BAJA_T_PESQ_2.bam | bcftools call --threads 35 -mv -Oz -o /data/I06_MS_BAJA_T_PESQ_2.vcf'</v>
      </c>
    </row>
    <row r="40" spans="1:6" x14ac:dyDescent="0.25">
      <c r="A40" t="s">
        <v>192</v>
      </c>
      <c r="B40" t="s">
        <v>275</v>
      </c>
      <c r="C40">
        <v>2</v>
      </c>
      <c r="D40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/data/I06_MS_BAJA_T_PESQ_3 --outSAMtype BAM SortedByCoordinate --outBAMsortingThreadN 35 --readFilesIn /rawdata/I06_Pesquero/I06_MS_BAJA_T_PESQ_3_R1_tnonrRNA.fastq.gz /rawdata/I06_Pesquero/I06_MS_BAJA_T_PESQ_3_R2_tnonrRNA.fastq.gz</v>
      </c>
      <c r="E40" t="str">
        <f t="shared" si="1"/>
        <v>docker run --rm -v /home/soporte/BIOINFOR/ALIGNMENT:/data dromero93/samtools index -@ 35 -c I06_MS_BAJA_T_PESQ_3.bam</v>
      </c>
      <c r="F40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/rawdata/I06_MS_BAJA_T_PESQ_3.bam | bcftools call --threads 35 -mv -Oz -o /data/I06_MS_BAJA_T_PESQ_3.vcf'</v>
      </c>
    </row>
    <row r="41" spans="1:6" x14ac:dyDescent="0.25">
      <c r="A41" t="s">
        <v>193</v>
      </c>
      <c r="B41" t="s">
        <v>275</v>
      </c>
      <c r="C41">
        <v>2</v>
      </c>
      <c r="D41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/data/I06_MS_BAJA_T_PESQ_4 --outSAMtype BAM SortedByCoordinate --outBAMsortingThreadN 35 --readFilesIn /rawdata/I06_Pesquero/I06_MS_BAJA_T_PESQ_4_R1_tnonrRNA.fastq.gz /rawdata/I06_Pesquero/I06_MS_BAJA_T_PESQ_4_R2_tnonrRNA.fastq.gz</v>
      </c>
      <c r="E41" t="str">
        <f t="shared" si="1"/>
        <v>docker run --rm -v /home/soporte/BIOINFOR/ALIGNMENT:/data dromero93/samtools index -@ 35 -c I06_MS_BAJA_T_PESQ_4.bam</v>
      </c>
      <c r="F41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/rawdata/I06_MS_BAJA_T_PESQ_4.bam | bcftools call --threads 35 -mv -Oz -o /data/I06_MS_BAJA_T_PESQ_4.vcf'</v>
      </c>
    </row>
    <row r="42" spans="1:6" x14ac:dyDescent="0.25">
      <c r="A42" t="s">
        <v>194</v>
      </c>
      <c r="B42" t="s">
        <v>275</v>
      </c>
      <c r="C42">
        <v>2</v>
      </c>
      <c r="D42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/data/I06_MS_INTER_T_PESQ_1 --outSAMtype BAM SortedByCoordinate --outBAMsortingThreadN 35 --readFilesIn /rawdata/I06_Pesquero/I06_MS_INTER_T_PESQ_1_R1_tnonrRNA.fastq.gz /rawdata/I06_Pesquero/I06_MS_INTER_T_PESQ_1_R2_tnonrRNA.fastq.gz</v>
      </c>
      <c r="E42" t="str">
        <f t="shared" si="1"/>
        <v>docker run --rm -v /home/soporte/BIOINFOR/ALIGNMENT:/data dromero93/samtools index -@ 35 -c I06_MS_INTER_T_PESQ_1.bam</v>
      </c>
      <c r="F42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/rawdata/I06_MS_INTER_T_PESQ_1.bam | bcftools call --threads 35 -mv -Oz -o /data/I06_MS_INTER_T_PESQ_1.vcf'</v>
      </c>
    </row>
    <row r="43" spans="1:6" x14ac:dyDescent="0.25">
      <c r="A43" t="s">
        <v>195</v>
      </c>
      <c r="B43" t="s">
        <v>275</v>
      </c>
      <c r="C43">
        <v>2</v>
      </c>
      <c r="D4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/data/I06_MS_INTER_T_PESQ_2 --outSAMtype BAM SortedByCoordinate --outBAMsortingThreadN 35 --readFilesIn /rawdata/I06_Pesquero/I06_MS_INTER_T_PESQ_2_R1_tnonrRNA.fastq.gz /rawdata/I06_Pesquero/I06_MS_INTER_T_PESQ_2_R2_tnonrRNA.fastq.gz</v>
      </c>
      <c r="E43" t="str">
        <f t="shared" si="1"/>
        <v>docker run --rm -v /home/soporte/BIOINFOR/ALIGNMENT:/data dromero93/samtools index -@ 35 -c I06_MS_INTER_T_PESQ_2.bam</v>
      </c>
      <c r="F43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/rawdata/I06_MS_INTER_T_PESQ_2.bam | bcftools call --threads 35 -mv -Oz -o /data/I06_MS_INTER_T_PESQ_2.vcf'</v>
      </c>
    </row>
    <row r="44" spans="1:6" x14ac:dyDescent="0.25">
      <c r="A44" t="s">
        <v>203</v>
      </c>
      <c r="B44" t="s">
        <v>276</v>
      </c>
      <c r="C44">
        <v>2</v>
      </c>
      <c r="D4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/data/M02_MS16_T_PESQ_1 --outSAMtype BAM SortedByCoordinate --outBAMsortingThreadN 35 --readFilesIn /rawdata/M02_AgroSur/M02_MS16_T_PESQ_1_R1_tnonrRNA.fastq.gz /rawdata/M02_AgroSur/M02_MS16_T_PESQ_1_R2_tnonrRNA.fastq.gz</v>
      </c>
      <c r="E44" t="str">
        <f t="shared" si="1"/>
        <v>docker run --rm -v /home/soporte/BIOINFOR/ALIGNMENT:/data dromero93/samtools index -@ 35 -c M02_MS16_T_PESQ_1.bam</v>
      </c>
      <c r="F4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/rawdata/M02_MS16_T_PESQ_1.bam | bcftools call --threads 35 -mv -Oz -o /data/M02_MS16_T_PESQ_1.vcf'</v>
      </c>
    </row>
    <row r="45" spans="1:6" x14ac:dyDescent="0.25">
      <c r="A45" t="s">
        <v>204</v>
      </c>
      <c r="B45" t="s">
        <v>276</v>
      </c>
      <c r="C45">
        <v>2</v>
      </c>
      <c r="D4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/data/M02_MS17-22_T_PESQ_1 --outSAMtype BAM SortedByCoordinate --outBAMsortingThreadN 35 --readFilesIn /rawdata/M02_AgroSur/M02_MS17-22_T_PESQ_1_R1_tnonrRNA.fastq.gz /rawdata/M02_AgroSur/M02_MS17-22_T_PESQ_1_R2_tnonrRNA.fastq.gz</v>
      </c>
      <c r="E45" t="str">
        <f t="shared" si="1"/>
        <v>docker run --rm -v /home/soporte/BIOINFOR/ALIGNMENT:/data dromero93/samtools index -@ 35 -c M02_MS17-22_T_PESQ_1.bam</v>
      </c>
      <c r="F4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/rawdata/M02_MS17-22_T_PESQ_1.bam | bcftools call --threads 35 -mv -Oz -o /data/M02_MS17-22_T_PESQ_1.vcf'</v>
      </c>
    </row>
    <row r="46" spans="1:6" x14ac:dyDescent="0.25">
      <c r="A46" t="s">
        <v>205</v>
      </c>
      <c r="B46" t="s">
        <v>276</v>
      </c>
      <c r="C46">
        <v>2</v>
      </c>
      <c r="D46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/data/M02_MS23-24_T_PESQ_1 --outSAMtype BAM SortedByCoordinate --outBAMsortingThreadN 35 --readFilesIn /rawdata/M02_AgroSur/M02_MS23-24_T_PESQ_1_R1_tnonrRNA.fastq.gz /rawdata/M02_AgroSur/M02_MS23-24_T_PESQ_1_R2_tnonrRNA.fastq.gz</v>
      </c>
      <c r="E46" t="str">
        <f t="shared" si="1"/>
        <v>docker run --rm -v /home/soporte/BIOINFOR/ALIGNMENT:/data dromero93/samtools index -@ 35 -c M02_MS23-24_T_PESQ_1.bam</v>
      </c>
      <c r="F4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/rawdata/M02_MS23-24_T_PESQ_1.bam | bcftools call --threads 35 -mv -Oz -o /data/M02_MS23-24_T_PESQ_1.vcf'</v>
      </c>
    </row>
    <row r="47" spans="1:6" x14ac:dyDescent="0.25">
      <c r="A47" t="s">
        <v>206</v>
      </c>
      <c r="B47" t="s">
        <v>276</v>
      </c>
      <c r="C47">
        <v>2</v>
      </c>
      <c r="D47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/data/M02_MS25-26_T_PESQ_1 --outSAMtype BAM SortedByCoordinate --outBAMsortingThreadN 35 --readFilesIn /rawdata/M02_AgroSur/M02_MS25-26_T_PESQ_1_R1_tnonrRNA.fastq.gz /rawdata/M02_AgroSur/M02_MS25-26_T_PESQ_1_R2_tnonrRNA.fastq.gz</v>
      </c>
      <c r="E47" t="str">
        <f t="shared" si="1"/>
        <v>docker run --rm -v /home/soporte/BIOINFOR/ALIGNMENT:/data dromero93/samtools index -@ 35 -c M02_MS25-26_T_PESQ_1.bam</v>
      </c>
      <c r="F47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/rawdata/M02_MS25-26_T_PESQ_1.bam | bcftools call --threads 35 -mv -Oz -o /data/M02_MS25-26_T_PESQ_1.vcf'</v>
      </c>
    </row>
    <row r="48" spans="1:6" x14ac:dyDescent="0.25">
      <c r="A48" t="s">
        <v>207</v>
      </c>
      <c r="B48" t="s">
        <v>276</v>
      </c>
      <c r="C48">
        <v>2</v>
      </c>
      <c r="D48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/data/M02_MS27_T_PESQ_1 --outSAMtype BAM SortedByCoordinate --outBAMsortingThreadN 35 --readFilesIn /rawdata/M02_AgroSur/M02_MS27_T_PESQ_1_R1_tnonrRNA.fastq.gz /rawdata/M02_AgroSur/M02_MS27_T_PESQ_1_R2_tnonrRNA.fastq.gz</v>
      </c>
      <c r="E48" t="str">
        <f t="shared" si="1"/>
        <v>docker run --rm -v /home/soporte/BIOINFOR/ALIGNMENT:/data dromero93/samtools index -@ 35 -c M02_MS27_T_PESQ_1.bam</v>
      </c>
      <c r="F48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/rawdata/M02_MS27_T_PESQ_1.bam | bcftools call --threads 35 -mv -Oz -o /data/M02_MS27_T_PESQ_1.vcf'</v>
      </c>
    </row>
    <row r="49" spans="1:6" x14ac:dyDescent="0.25">
      <c r="A49" t="s">
        <v>208</v>
      </c>
      <c r="B49" t="s">
        <v>276</v>
      </c>
      <c r="C49">
        <v>2</v>
      </c>
      <c r="D49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/data/M02_MS_ALTA_T_PESQ_1 --outSAMtype BAM SortedByCoordinate --outBAMsortingThreadN 35 --readFilesIn /rawdata/M02_AgroSur/M02_MS_ALTA_T_PESQ_1_R1_tnonrRNA.fastq.gz /rawdata/M02_AgroSur/M02_MS_ALTA_T_PESQ_1_R2_tnonrRNA.fastq.gz</v>
      </c>
      <c r="E49" t="str">
        <f t="shared" si="1"/>
        <v>docker run --rm -v /home/soporte/BIOINFOR/ALIGNMENT:/data dromero93/samtools index -@ 35 -c M02_MS_ALTA_T_PESQ_1.bam</v>
      </c>
      <c r="F49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/rawdata/M02_MS_ALTA_T_PESQ_1.bam | bcftools call --threads 35 -mv -Oz -o /data/M02_MS_ALTA_T_PESQ_1.vcf'</v>
      </c>
    </row>
    <row r="50" spans="1:6" x14ac:dyDescent="0.25">
      <c r="A50" t="s">
        <v>209</v>
      </c>
      <c r="B50" t="s">
        <v>276</v>
      </c>
      <c r="C50">
        <v>2</v>
      </c>
      <c r="D50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/data/M02_MS_ALTA_T_PESQ_2 --outSAMtype BAM SortedByCoordinate --outBAMsortingThreadN 35 --readFilesIn /rawdata/M02_AgroSur/M02_MS_ALTA_T_PESQ_2_R1_tnonrRNA.fastq.gz /rawdata/M02_AgroSur/M02_MS_ALTA_T_PESQ_2_R2_tnonrRNA.fastq.gz</v>
      </c>
      <c r="E50" t="str">
        <f t="shared" si="1"/>
        <v>docker run --rm -v /home/soporte/BIOINFOR/ALIGNMENT:/data dromero93/samtools index -@ 35 -c M02_MS_ALTA_T_PESQ_2.bam</v>
      </c>
      <c r="F50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/rawdata/M02_MS_ALTA_T_PESQ_2.bam | bcftools call --threads 35 -mv -Oz -o /data/M02_MS_ALTA_T_PESQ_2.vcf'</v>
      </c>
    </row>
    <row r="51" spans="1:6" x14ac:dyDescent="0.25">
      <c r="A51" t="s">
        <v>210</v>
      </c>
      <c r="B51" t="s">
        <v>276</v>
      </c>
      <c r="C51">
        <v>2</v>
      </c>
      <c r="D51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/data/M02_MS_ALTA_T_PESQ_3 --outSAMtype BAM SortedByCoordinate --outBAMsortingThreadN 35 --readFilesIn /rawdata/M02_AgroSur/M02_MS_ALTA_T_PESQ_3_R1_tnonrRNA.fastq.gz /rawdata/M02_AgroSur/M02_MS_ALTA_T_PESQ_3_R2_tnonrRNA.fastq.gz</v>
      </c>
      <c r="E51" t="str">
        <f t="shared" si="1"/>
        <v>docker run --rm -v /home/soporte/BIOINFOR/ALIGNMENT:/data dromero93/samtools index -@ 35 -c M02_MS_ALTA_T_PESQ_3.bam</v>
      </c>
      <c r="F51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/rawdata/M02_MS_ALTA_T_PESQ_3.bam | bcftools call --threads 35 -mv -Oz -o /data/M02_MS_ALTA_T_PESQ_3.vcf'</v>
      </c>
    </row>
    <row r="52" spans="1:6" x14ac:dyDescent="0.25">
      <c r="A52" t="s">
        <v>211</v>
      </c>
      <c r="B52" t="s">
        <v>276</v>
      </c>
      <c r="C52">
        <v>2</v>
      </c>
      <c r="D52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/data/M02_MS_ALTA_T_PESQ_4 --outSAMtype BAM SortedByCoordinate --outBAMsortingThreadN 35 --readFilesIn /rawdata/M02_AgroSur/M02_MS_ALTA_T_PESQ_4_R1_tnonrRNA.fastq.gz /rawdata/M02_AgroSur/M02_MS_ALTA_T_PESQ_4_R2_tnonrRNA.fastq.gz</v>
      </c>
      <c r="E52" t="str">
        <f t="shared" si="1"/>
        <v>docker run --rm -v /home/soporte/BIOINFOR/ALIGNMENT:/data dromero93/samtools index -@ 35 -c M02_MS_ALTA_T_PESQ_4.bam</v>
      </c>
      <c r="F52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/rawdata/M02_MS_ALTA_T_PESQ_4.bam | bcftools call --threads 35 -mv -Oz -o /data/M02_MS_ALTA_T_PESQ_4.vcf'</v>
      </c>
    </row>
    <row r="53" spans="1:6" x14ac:dyDescent="0.25">
      <c r="A53" t="s">
        <v>212</v>
      </c>
      <c r="B53" t="s">
        <v>276</v>
      </c>
      <c r="C53">
        <v>2</v>
      </c>
      <c r="D5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/data/M02_MS_BAJA_T_PESQ_1 --outSAMtype BAM SortedByCoordinate --outBAMsortingThreadN 35 --readFilesIn /rawdata/M02_AgroSur/M02_MS_BAJA_T_PESQ_1_R1_tnonrRNA.fastq.gz /rawdata/M02_AgroSur/M02_MS_BAJA_T_PESQ_1_R2_tnonrRNA.fastq.gz</v>
      </c>
      <c r="E53" t="str">
        <f t="shared" si="1"/>
        <v>docker run --rm -v /home/soporte/BIOINFOR/ALIGNMENT:/data dromero93/samtools index -@ 35 -c M02_MS_BAJA_T_PESQ_1.bam</v>
      </c>
      <c r="F53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/rawdata/M02_MS_BAJA_T_PESQ_1.bam | bcftools call --threads 35 -mv -Oz -o /data/M02_MS_BAJA_T_PESQ_1.vcf'</v>
      </c>
    </row>
    <row r="54" spans="1:6" x14ac:dyDescent="0.25">
      <c r="A54" t="s">
        <v>213</v>
      </c>
      <c r="B54" t="s">
        <v>276</v>
      </c>
      <c r="C54">
        <v>2</v>
      </c>
      <c r="D5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/data/M02_MS_BAJA_T_PESQ_2 --outSAMtype BAM SortedByCoordinate --outBAMsortingThreadN 35 --readFilesIn /rawdata/M02_AgroSur/M02_MS_BAJA_T_PESQ_2_R1_tnonrRNA.fastq.gz /rawdata/M02_AgroSur/M02_MS_BAJA_T_PESQ_2_R2_tnonrRNA.fastq.gz</v>
      </c>
      <c r="E54" t="str">
        <f t="shared" si="1"/>
        <v>docker run --rm -v /home/soporte/BIOINFOR/ALIGNMENT:/data dromero93/samtools index -@ 35 -c M02_MS_BAJA_T_PESQ_2.bam</v>
      </c>
      <c r="F5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/rawdata/M02_MS_BAJA_T_PESQ_2.bam | bcftools call --threads 35 -mv -Oz -o /data/M02_MS_BAJA_T_PESQ_2.vcf'</v>
      </c>
    </row>
    <row r="55" spans="1:6" x14ac:dyDescent="0.25">
      <c r="A55" t="s">
        <v>214</v>
      </c>
      <c r="B55" t="s">
        <v>276</v>
      </c>
      <c r="C55">
        <v>2</v>
      </c>
      <c r="D5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/data/M02_MS_BAJA_T_PESQ_3 --outSAMtype BAM SortedByCoordinate --outBAMsortingThreadN 35 --readFilesIn /rawdata/M02_AgroSur/M02_MS_BAJA_T_PESQ_3_R1_tnonrRNA.fastq.gz /rawdata/M02_AgroSur/M02_MS_BAJA_T_PESQ_3_R2_tnonrRNA.fastq.gz</v>
      </c>
      <c r="E55" t="str">
        <f t="shared" si="1"/>
        <v>docker run --rm -v /home/soporte/BIOINFOR/ALIGNMENT:/data dromero93/samtools index -@ 35 -c M02_MS_BAJA_T_PESQ_3.bam</v>
      </c>
      <c r="F5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/rawdata/M02_MS_BAJA_T_PESQ_3.bam | bcftools call --threads 35 -mv -Oz -o /data/M02_MS_BAJA_T_PESQ_3.vcf'</v>
      </c>
    </row>
    <row r="56" spans="1:6" x14ac:dyDescent="0.25">
      <c r="A56" t="s">
        <v>215</v>
      </c>
      <c r="B56" t="s">
        <v>276</v>
      </c>
      <c r="C56">
        <v>2</v>
      </c>
      <c r="D56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/data/M02_MS_BAJA_T_PESQ_4 --outSAMtype BAM SortedByCoordinate --outBAMsortingThreadN 35 --readFilesIn /rawdata/M02_AgroSur/M02_MS_BAJA_T_PESQ_4_R1_tnonrRNA.fastq.gz /rawdata/M02_AgroSur/M02_MS_BAJA_T_PESQ_4_R2_tnonrRNA.fastq.gz</v>
      </c>
      <c r="E56" t="str">
        <f t="shared" si="1"/>
        <v>docker run --rm -v /home/soporte/BIOINFOR/ALIGNMENT:/data dromero93/samtools index -@ 35 -c M02_MS_BAJA_T_PESQ_4.bam</v>
      </c>
      <c r="F5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/rawdata/M02_MS_BAJA_T_PESQ_4.bam | bcftools call --threads 35 -mv -Oz -o /data/M02_MS_BAJA_T_PESQ_4.vcf'</v>
      </c>
    </row>
    <row r="57" spans="1:6" x14ac:dyDescent="0.25">
      <c r="A57" t="s">
        <v>216</v>
      </c>
      <c r="B57" t="s">
        <v>276</v>
      </c>
      <c r="C57">
        <v>2</v>
      </c>
      <c r="D57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/data/M02_MS_INTER_T_PESQ_1 --outSAMtype BAM SortedByCoordinate --outBAMsortingThreadN 35 --readFilesIn /rawdata/M02_AgroSur/M02_MS_INTER_T_PESQ_1_R1_tnonrRNA.fastq.gz /rawdata/M02_AgroSur/M02_MS_INTER_T_PESQ_1_R2_tnonrRNA.fastq.gz</v>
      </c>
      <c r="E57" t="str">
        <f t="shared" si="1"/>
        <v>docker run --rm -v /home/soporte/BIOINFOR/ALIGNMENT:/data dromero93/samtools index -@ 35 -c M02_MS_INTER_T_PESQ_1.bam</v>
      </c>
      <c r="F57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/rawdata/M02_MS_INTER_T_PESQ_1.bam | bcftools call --threads 35 -mv -Oz -o /data/M02_MS_INTER_T_PESQ_1.vcf'</v>
      </c>
    </row>
    <row r="58" spans="1:6" x14ac:dyDescent="0.25">
      <c r="A58" t="s">
        <v>217</v>
      </c>
      <c r="B58" t="s">
        <v>276</v>
      </c>
      <c r="C58">
        <v>2</v>
      </c>
      <c r="D58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/data/M02_MS_INTER_T_PESQ_2 --outSAMtype BAM SortedByCoordinate --outBAMsortingThreadN 35 --readFilesIn /rawdata/M02_AgroSur/M02_MS_INTER_T_PESQ_2_R1_tnonrRNA.fastq.gz /rawdata/M02_AgroSur/M02_MS_INTER_T_PESQ_2_R2_tnonrRNA.fastq.gz</v>
      </c>
      <c r="E58" t="str">
        <f t="shared" si="1"/>
        <v>docker run --rm -v /home/soporte/BIOINFOR/ALIGNMENT:/data dromero93/samtools index -@ 35 -c M02_MS_INTER_T_PESQ_2.bam</v>
      </c>
      <c r="F58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/rawdata/M02_MS_INTER_T_PESQ_2.bam | bcftools call --threads 35 -mv -Oz -o /data/M02_MS_INTER_T_PESQ_2.vcf'</v>
      </c>
    </row>
    <row r="59" spans="1:6" x14ac:dyDescent="0.25">
      <c r="A59" t="s">
        <v>224</v>
      </c>
      <c r="B59" t="s">
        <v>277</v>
      </c>
      <c r="C59">
        <v>2</v>
      </c>
      <c r="D59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/data/M100_MS20-21_T_PESQ_1 --outSAMtype BAM SortedByCoordinate --outBAMsortingThreadN 35 --readFilesIn /rawdata/M100_Santero_AgroSur/M100_MS20-21_T_PESQ_1_R1_tnonrRNA.fastq.gz /rawdata/M100_Santero_AgroSur/M100_MS20-21_T_PESQ_1_R2_tnonrRNA.fastq.gz</v>
      </c>
      <c r="E59" t="str">
        <f t="shared" si="1"/>
        <v>docker run --rm -v /home/soporte/BIOINFOR/ALIGNMENT:/data dromero93/samtools index -@ 35 -c M100_MS20-21_T_PESQ_1.bam</v>
      </c>
      <c r="F59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/rawdata/M100_MS20-21_T_PESQ_1.bam | bcftools call --threads 35 -mv -Oz -o /data/M100_MS20-21_T_PESQ_1.vcf'</v>
      </c>
    </row>
    <row r="60" spans="1:6" x14ac:dyDescent="0.25">
      <c r="A60" t="s">
        <v>225</v>
      </c>
      <c r="B60" t="s">
        <v>277</v>
      </c>
      <c r="C60">
        <v>2</v>
      </c>
      <c r="D60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/data/M100_MS8-12_T_PESQ_1 --outSAMtype BAM SortedByCoordinate --outBAMsortingThreadN 35 --readFilesIn /rawdata/M100_Santero_AgroSur/M100_MS8-12_T_PESQ_1_R1_tnonrRNA.fastq.gz /rawdata/M100_Santero_AgroSur/M100_MS8-12_T_PESQ_1_R2_tnonrRNA.fastq.gz</v>
      </c>
      <c r="E60" t="str">
        <f t="shared" si="1"/>
        <v>docker run --rm -v /home/soporte/BIOINFOR/ALIGNMENT:/data dromero93/samtools index -@ 35 -c M100_MS8-12_T_PESQ_1.bam</v>
      </c>
      <c r="F60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/rawdata/M100_MS8-12_T_PESQ_1.bam | bcftools call --threads 35 -mv -Oz -o /data/M100_MS8-12_T_PESQ_1.vcf'</v>
      </c>
    </row>
    <row r="61" spans="1:6" x14ac:dyDescent="0.25">
      <c r="A61" t="s">
        <v>254</v>
      </c>
      <c r="B61" t="s">
        <v>286</v>
      </c>
      <c r="C61">
        <v>2</v>
      </c>
      <c r="D61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/data/RR1027_MS10-13_T_PESQ_1 --outSAMtype BAM SortedByCoordinate --outBAMsortingThreadN 35 --readFilesIn /rawdata/RR1027_R123_M100/RR1027_MS10-13_T_PESQ_1_R1_tnonrRNA.fastq.gz /rawdata/RR1027_R123_M100/RR1027_MS10-13_T_PESQ_1_R2_tnonrRNA.fastq.gz</v>
      </c>
      <c r="E61" t="str">
        <f t="shared" si="1"/>
        <v>docker run --rm -v /home/soporte/BIOINFOR/ALIGNMENT:/data dromero93/samtools index -@ 35 -c RR1027_MS10-13_T_PESQ_1.bam</v>
      </c>
      <c r="F61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/rawdata/RR1027_MS10-13_T_PESQ_1.bam | bcftools call --threads 35 -mv -Oz -o /data/RR1027_MS10-13_T_PESQ_1.vcf'</v>
      </c>
    </row>
    <row r="62" spans="1:6" x14ac:dyDescent="0.25">
      <c r="A62" t="s">
        <v>255</v>
      </c>
      <c r="B62" t="s">
        <v>286</v>
      </c>
      <c r="C62">
        <v>2</v>
      </c>
      <c r="D62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/data/RR1027_MS17_T_PESQ_1 --outSAMtype BAM SortedByCoordinate --outBAMsortingThreadN 35 --readFilesIn /rawdata/RR1027_R123_M100/RR1027_MS17_T_PESQ_1_R1_tnonrRNA.fastq.gz /rawdata/RR1027_R123_M100/RR1027_MS17_T_PESQ_1_R2_tnonrRNA.fastq.gz</v>
      </c>
      <c r="E62" t="str">
        <f t="shared" si="1"/>
        <v>docker run --rm -v /home/soporte/BIOINFOR/ALIGNMENT:/data dromero93/samtools index -@ 35 -c RR1027_MS17_T_PESQ_1.bam</v>
      </c>
      <c r="F62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/rawdata/RR1027_MS17_T_PESQ_1.bam | bcftools call --threads 35 -mv -Oz -o /data/RR1027_MS17_T_PESQ_1.vcf'</v>
      </c>
    </row>
    <row r="63" spans="1:6" x14ac:dyDescent="0.25">
      <c r="A63" t="s">
        <v>256</v>
      </c>
      <c r="B63" t="s">
        <v>286</v>
      </c>
      <c r="C63">
        <v>2</v>
      </c>
      <c r="D63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/data/RR1027_MS22-23_T_PESQ_1 --outSAMtype BAM SortedByCoordinate --outBAMsortingThreadN 35 --readFilesIn /rawdata/RR1027_R123_M100/RR1027_MS22-23_T_PESQ_1_R1_tnonrRNA.fastq.gz /rawdata/RR1027_R123_M100/RR1027_MS22-23_T_PESQ_1_R2_tnonrRNA.fastq.gz</v>
      </c>
      <c r="E63" t="str">
        <f t="shared" si="1"/>
        <v>docker run --rm -v /home/soporte/BIOINFOR/ALIGNMENT:/data dromero93/samtools index -@ 35 -c RR1027_MS22-23_T_PESQ_1.bam</v>
      </c>
      <c r="F63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/rawdata/RR1027_MS22-23_T_PESQ_1.bam | bcftools call --threads 35 -mv -Oz -o /data/RR1027_MS22-23_T_PESQ_1.vcf'</v>
      </c>
    </row>
    <row r="64" spans="1:6" x14ac:dyDescent="0.25">
      <c r="A64" t="s">
        <v>261</v>
      </c>
      <c r="B64" t="s">
        <v>287</v>
      </c>
      <c r="C64">
        <v>2</v>
      </c>
      <c r="D64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/data/S72_BULBO_T_PESQ_1 --outSAMtype BAM SortedByCoordinate --outBAMsortingThreadN 35 --readFilesIn /rawdata/R173_S72/S72_BULBO_T_PESQ_1_R1_tnonrRNA.fastq.gz /rawdata/R173_S72/S72_BULBO_T_PESQ_1_R2_tnonrRNA.fastq.gz</v>
      </c>
      <c r="E64" t="str">
        <f t="shared" si="1"/>
        <v>docker run --rm -v /home/soporte/BIOINFOR/ALIGNMENT:/data dromero93/samtools index -@ 35 -c S72_BULBO_T_PESQ_1.bam</v>
      </c>
      <c r="F64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/rawdata/S72_BULBO_T_PESQ_1.bam | bcftools call --threads 35 -mv -Oz -o /data/S72_BULBO_T_PESQ_1.vcf'</v>
      </c>
    </row>
    <row r="65" spans="1:6" x14ac:dyDescent="0.25">
      <c r="A65" t="s">
        <v>262</v>
      </c>
      <c r="B65" t="s">
        <v>283</v>
      </c>
      <c r="C65">
        <v>2</v>
      </c>
      <c r="D65" t="str">
        <f t="shared" si="0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/data/S73_BULBO_T_PESQ_1 --outSAMtype BAM SortedByCoordinate --outBAMsortingThreadN 35 --readFilesIn /rawdata/R174_S73/S73_BULBO_T_PESQ_1_R1_tnonrRNA.fastq.gz /rawdata/R174_S73/S73_BULBO_T_PESQ_1_R2_tnonrRNA.fastq.gz</v>
      </c>
      <c r="E65" t="str">
        <f t="shared" si="1"/>
        <v>docker run --rm -v /home/soporte/BIOINFOR/ALIGNMENT:/data dromero93/samtools index -@ 35 -c S73_BULBO_T_PESQ_1.bam</v>
      </c>
      <c r="F65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/rawdata/S73_BULBO_T_PESQ_1.bam | bcftools call --threads 35 -mv -Oz -o /data/S73_BULBO_T_PESQ_1.vcf'</v>
      </c>
    </row>
    <row r="66" spans="1:6" x14ac:dyDescent="0.25">
      <c r="A66" t="s">
        <v>263</v>
      </c>
      <c r="B66" t="s">
        <v>288</v>
      </c>
      <c r="C66">
        <v>2</v>
      </c>
      <c r="D66" t="str">
        <f t="shared" ref="D66:D76" si="3">"docker run --rm -v /home/soporte/atenea/BIOINFOR/INDEX/STAR:/INDEX -v /home/soporte/poseidon/BIOINFOR_SILVER/SEQUENCING/TRANSCRIPTOME:/rawdata "&amp;"-v /home/soporte/BIOINFOR/ALIGNMENT:/data dromero93/star:latest --runMode alignReads --runThreadN 35 --genomeDir "&amp;"/INDEX/Acepa_PSQ_v4 --readFilesCommand zcat --outFilterMismatchNoverLmax 0.15 --outFilterScoreMinOverLread 0.5 --outFilterMatchNminOverLread 0.5 --alignIntronMax 2000000"&amp;" --alignMatesGapMax 2000000 --outSAMmultNmax 10 --outFileNamePrefix /data/"&amp;SUBSTITUTE(A66,".bam","")&amp;" --outSAMtype BAM SortedByCoordinate --outBAMsortingThreadN 35 --readFilesIn /rawdata/"&amp;B66&amp;"/"&amp;SUBSTITUTE(A66,".bam","_R1_tnonrRNA.fastq.gz")&amp;" /rawdata/"&amp;B66&amp;"/"&amp;SUBSTITUTE(A66,".bam","_R2_tnonrRNA.fastq.gz")</f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/data/S74_BULBO_T_PESQ_1 --outSAMtype BAM SortedByCoordinate --outBAMsortingThreadN 35 --readFilesIn /rawdata/R175_S74/S74_BULBO_T_PESQ_1_R1_tnonrRNA.fastq.gz /rawdata/R175_S74/S74_BULBO_T_PESQ_1_R2_tnonrRNA.fastq.gz</v>
      </c>
      <c r="E66" t="str">
        <f t="shared" si="1"/>
        <v>docker run --rm -v /home/soporte/BIOINFOR/ALIGNMENT:/data dromero93/samtools index -@ 35 -c S74_BULBO_T_PESQ_1.bam</v>
      </c>
      <c r="F66" t="str">
        <f t="shared" si="2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/rawdata/S74_BULBO_T_PESQ_1.bam | bcftools call --threads 35 -mv -Oz -o /data/S74_BULBO_T_PESQ_1.vcf'</v>
      </c>
    </row>
    <row r="67" spans="1:6" x14ac:dyDescent="0.25">
      <c r="A67" t="s">
        <v>264</v>
      </c>
      <c r="B67" t="s">
        <v>289</v>
      </c>
      <c r="C67">
        <v>2</v>
      </c>
      <c r="D67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/data/S75_BULBO_T_PESQ_1 --outSAMtype BAM SortedByCoordinate --outBAMsortingThreadN 35 --readFilesIn /rawdata/R176_S75/S75_BULBO_T_PESQ_1_R1_tnonrRNA.fastq.gz /rawdata/R176_S75/S75_BULBO_T_PESQ_1_R2_tnonrRNA.fastq.gz</v>
      </c>
      <c r="E67" t="str">
        <f t="shared" ref="E67:E130" si="4">"docker run --rm -v /home/soporte/BIOINFOR/ALIGNMENT:/data dromero93/samtools index -@ 35 -c "&amp;A67</f>
        <v>docker run --rm -v /home/soporte/BIOINFOR/ALIGNMENT:/data dromero93/samtools index -@ 35 -c S75_BULBO_T_PESQ_1.bam</v>
      </c>
      <c r="F67" t="str">
        <f t="shared" ref="F67:F130" si="5">"docker run --rm --entrypoint /bin/bash -v /home/soporte/atenea/BIOINFOR/DATABASE:/INDEX -v /home/soporte/BIOINFOR/ALIGNMENT:/rawdata"&amp;" -v /home/soporte/BIOINFOR/VARIANT_CALLING:/data dromero93/bcftools:latest -c 'bcftools mpileup --redo-BAQ -Q 15 -Ou -a FORMAT/AD,FORMAT/DP,INFO/AD --threads 35 -f /INDEX/Acepa/Acepa_PSQ/Genome_Temprana_v4.fasta /rawdata/"&amp;A67&amp;" | bcftools call --threads 35 -mv -Oz -o /data/"&amp;SUBSTITUTE(A67,".bam",".vcf")&amp;"'"</f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/rawdata/S75_BULBO_T_PESQ_1.bam | bcftools call --threads 35 -mv -Oz -o /data/S75_BULBO_T_PESQ_1.vcf'</v>
      </c>
    </row>
    <row r="68" spans="1:6" x14ac:dyDescent="0.25">
      <c r="A68" t="s">
        <v>137</v>
      </c>
      <c r="B68" t="s">
        <v>278</v>
      </c>
      <c r="C68">
        <v>3</v>
      </c>
      <c r="D68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/data/B03_BULBO_MJP1_T_PESQ_1 --outSAMtype BAM SortedByCoordinate --outBAMsortingThreadN 35 --readFilesIn /rawdata/B03_AgroPrecozT3/B03_BULBO_MJP1_T_PESQ_1_R1_tnonrRNA.fastq.gz /rawdata/B03_AgroPrecozT3/B03_BULBO_MJP1_T_PESQ_1_R2_tnonrRNA.fastq.gz</v>
      </c>
      <c r="E68" t="str">
        <f t="shared" si="4"/>
        <v>docker run --rm -v /home/soporte/BIOINFOR/ALIGNMENT:/data dromero93/samtools index -@ 35 -c B03_BULBO_MJP1_T_PESQ_1.bam</v>
      </c>
      <c r="F6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/rawdata/B03_BULBO_MJP1_T_PESQ_1.bam | bcftools call --threads 35 -mv -Oz -o /data/B03_BULBO_MJP1_T_PESQ_1.vcf'</v>
      </c>
    </row>
    <row r="69" spans="1:6" x14ac:dyDescent="0.25">
      <c r="A69" t="s">
        <v>138</v>
      </c>
      <c r="B69" t="s">
        <v>278</v>
      </c>
      <c r="C69">
        <v>3</v>
      </c>
      <c r="D69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/data/B03_BULBO_MT6_T_PESQ_1 --outSAMtype BAM SortedByCoordinate --outBAMsortingThreadN 35 --readFilesIn /rawdata/B03_AgroPrecozT3/B03_BULBO_MT6_T_PESQ_1_R1_tnonrRNA.fastq.gz /rawdata/B03_AgroPrecozT3/B03_BULBO_MT6_T_PESQ_1_R2_tnonrRNA.fastq.gz</v>
      </c>
      <c r="E69" t="str">
        <f t="shared" si="4"/>
        <v>docker run --rm -v /home/soporte/BIOINFOR/ALIGNMENT:/data dromero93/samtools index -@ 35 -c B03_BULBO_MT6_T_PESQ_1.bam</v>
      </c>
      <c r="F6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/rawdata/B03_BULBO_MT6_T_PESQ_1.bam | bcftools call --threads 35 -mv -Oz -o /data/B03_BULBO_MT6_T_PESQ_1.vcf'</v>
      </c>
    </row>
    <row r="70" spans="1:6" x14ac:dyDescent="0.25">
      <c r="A70" t="s">
        <v>167</v>
      </c>
      <c r="B70" t="s">
        <v>290</v>
      </c>
      <c r="C70">
        <v>3</v>
      </c>
      <c r="D70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/data/BEJO_T_PESQ_1 --outSAMtype BAM SortedByCoordinate --outBAMsortingThreadN 35 --readFilesIn /rawdata/R212_Yankee/BEJO_T_PESQ_1_R1_tnonrRNA.fastq.gz /rawdata/R212_Yankee/BEJO_T_PESQ_1_R2_tnonrRNA.fastq.gz</v>
      </c>
      <c r="E70" t="str">
        <f t="shared" si="4"/>
        <v>docker run --rm -v /home/soporte/BIOINFOR/ALIGNMENT:/data dromero93/samtools index -@ 35 -c BEJO_T_PESQ_1.bam</v>
      </c>
      <c r="F7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/rawdata/BEJO_T_PESQ_1.bam | bcftools call --threads 35 -mv -Oz -o /data/BEJO_T_PESQ_1.vcf'</v>
      </c>
    </row>
    <row r="71" spans="1:6" x14ac:dyDescent="0.25">
      <c r="A71" t="s">
        <v>168</v>
      </c>
      <c r="B71" t="s">
        <v>291</v>
      </c>
      <c r="C71">
        <v>3</v>
      </c>
      <c r="D71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/data/BRIDEWHITE_T_PESQ_1 --outSAMtype BAM SortedByCoordinate --outBAMsortingThreadN 35 --readFilesIn /rawdata/XX_FUSARIUM_RESIST/BRIDEWHITE_T_PESQ_1_R1_tnonrRNA.fastq.gz /rawdata/XX_FUSARIUM_RESIST/BRIDEWHITE_T_PESQ_1_R2_tnonrRNA.fastq.gz</v>
      </c>
      <c r="E71" t="str">
        <f t="shared" si="4"/>
        <v>docker run --rm -v /home/soporte/BIOINFOR/ALIGNMENT:/data dromero93/samtools index -@ 35 -c BRIDEWHITE_T_PESQ_1.bam</v>
      </c>
      <c r="F71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/rawdata/BRIDEWHITE_T_PESQ_1.bam | bcftools call --threads 35 -mv -Oz -o /data/BRIDEWHITE_T_PESQ_1.vcf'</v>
      </c>
    </row>
    <row r="72" spans="1:6" x14ac:dyDescent="0.25">
      <c r="A72" t="s">
        <v>170</v>
      </c>
      <c r="B72" t="s">
        <v>291</v>
      </c>
      <c r="C72">
        <v>3</v>
      </c>
      <c r="D72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/data/CORTLAND_T_PESQ_1 --outSAMtype BAM SortedByCoordinate --outBAMsortingThreadN 35 --readFilesIn /rawdata/XX_FUSARIUM_RESIST/CORTLAND_T_PESQ_1_R1_tnonrRNA.fastq.gz /rawdata/XX_FUSARIUM_RESIST/CORTLAND_T_PESQ_1_R2_tnonrRNA.fastq.gz</v>
      </c>
      <c r="E72" t="str">
        <f t="shared" si="4"/>
        <v>docker run --rm -v /home/soporte/BIOINFOR/ALIGNMENT:/data dromero93/samtools index -@ 35 -c CORTLAND_T_PESQ_1.bam</v>
      </c>
      <c r="F72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/rawdata/CORTLAND_T_PESQ_1.bam | bcftools call --threads 35 -mv -Oz -o /data/CORTLAND_T_PESQ_1.vcf'</v>
      </c>
    </row>
    <row r="73" spans="1:6" x14ac:dyDescent="0.25">
      <c r="A73" t="s">
        <v>171</v>
      </c>
      <c r="B73" t="s">
        <v>285</v>
      </c>
      <c r="C73">
        <v>3</v>
      </c>
      <c r="D73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/data/D05_BULBO_MJP16_T_PESQ_1 --outSAMtype BAM SortedByCoordinate --outBAMsortingThreadN 35 --readFilesIn /rawdata/D05_Temprana/D05_BULBO_MJP16_T_PESQ_1_R1_tnonrRNA.fastq.gz /rawdata/D05_Temprana/D05_BULBO_MJP16_T_PESQ_1_R2_tnonrRNA.fastq.gz</v>
      </c>
      <c r="E73" t="str">
        <f t="shared" si="4"/>
        <v>docker run --rm -v /home/soporte/BIOINFOR/ALIGNMENT:/data dromero93/samtools index -@ 35 -c D05_BULBO_MJP16_T_PESQ_1.bam</v>
      </c>
      <c r="F73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/rawdata/D05_BULBO_MJP16_T_PESQ_1.bam | bcftools call --threads 35 -mv -Oz -o /data/D05_BULBO_MJP16_T_PESQ_1.vcf'</v>
      </c>
    </row>
    <row r="74" spans="1:6" x14ac:dyDescent="0.25">
      <c r="A74" t="s">
        <v>172</v>
      </c>
      <c r="B74" t="s">
        <v>285</v>
      </c>
      <c r="C74">
        <v>3</v>
      </c>
      <c r="D74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/data/D05_BULBO_MT16_T_PESQ_1 --outSAMtype BAM SortedByCoordinate --outBAMsortingThreadN 35 --readFilesIn /rawdata/D05_Temprana/D05_BULBO_MT16_T_PESQ_1_R1_tnonrRNA.fastq.gz /rawdata/D05_Temprana/D05_BULBO_MT16_T_PESQ_1_R2_tnonrRNA.fastq.gz</v>
      </c>
      <c r="E74" t="str">
        <f t="shared" si="4"/>
        <v>docker run --rm -v /home/soporte/BIOINFOR/ALIGNMENT:/data dromero93/samtools index -@ 35 -c D05_BULBO_MT16_T_PESQ_1.bam</v>
      </c>
      <c r="F74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/rawdata/D05_BULBO_MT16_T_PESQ_1.bam | bcftools call --threads 35 -mv -Oz -o /data/D05_BULBO_MT16_T_PESQ_1.vcf'</v>
      </c>
    </row>
    <row r="75" spans="1:6" x14ac:dyDescent="0.25">
      <c r="A75" t="s">
        <v>173</v>
      </c>
      <c r="B75" t="s">
        <v>285</v>
      </c>
      <c r="C75">
        <v>3</v>
      </c>
      <c r="D75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/data/D05_BULBO_OR59_T_PESQ_1 --outSAMtype BAM SortedByCoordinate --outBAMsortingThreadN 35 --readFilesIn /rawdata/D05_Temprana/D05_BULBO_OR59_T_PESQ_1_R1_tnonrRNA.fastq.gz /rawdata/D05_Temprana/D05_BULBO_OR59_T_PESQ_1_R2_tnonrRNA.fastq.gz</v>
      </c>
      <c r="E75" t="str">
        <f t="shared" si="4"/>
        <v>docker run --rm -v /home/soporte/BIOINFOR/ALIGNMENT:/data dromero93/samtools index -@ 35 -c D05_BULBO_OR59_T_PESQ_1.bam</v>
      </c>
      <c r="F75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/rawdata/D05_BULBO_OR59_T_PESQ_1.bam | bcftools call --threads 35 -mv -Oz -o /data/D05_BULBO_OR59_T_PESQ_1.vcf'</v>
      </c>
    </row>
    <row r="76" spans="1:6" x14ac:dyDescent="0.25">
      <c r="A76" t="s">
        <v>174</v>
      </c>
      <c r="B76" t="s">
        <v>285</v>
      </c>
      <c r="C76">
        <v>3</v>
      </c>
      <c r="D76" t="str">
        <f t="shared" si="3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/data/D05_BULBO_T_PESQ_1 --outSAMtype BAM SortedByCoordinate --outBAMsortingThreadN 35 --readFilesIn /rawdata/D05_Temprana/D05_BULBO_T_PESQ_1_R1_tnonrRNA.fastq.gz /rawdata/D05_Temprana/D05_BULBO_T_PESQ_1_R2_tnonrRNA.fastq.gz</v>
      </c>
      <c r="E76" t="str">
        <f t="shared" si="4"/>
        <v>docker run --rm -v /home/soporte/BIOINFOR/ALIGNMENT:/data dromero93/samtools index -@ 35 -c D05_BULBO_T_PESQ_1.bam</v>
      </c>
      <c r="F76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/rawdata/D05_BULBO_T_PESQ_1.bam | bcftools call --threads 35 -mv -Oz -o /data/D05_BULBO_T_PESQ_1.vcf'</v>
      </c>
    </row>
    <row r="77" spans="1:6" x14ac:dyDescent="0.25">
      <c r="A77" t="s">
        <v>176</v>
      </c>
      <c r="B77" t="s">
        <v>285</v>
      </c>
      <c r="C77">
        <v>3</v>
      </c>
      <c r="D77" t="str">
        <f>"docker run --rm -v /home/soporte/atenea/BIOINFOR/INDEX/STAR:/INDEX -v /home/soporte/poseidon/BIOINFOR_SILVER/SEQUENCING/TRANSCRIPTOME:/rawdata "&amp;"-v /home/soporte/BIOINFOR/ALIGNMENT:/data dromero93/star:latest --runMode alignReads --runThreadN 35 --genomeDir "&amp;"/INDEX/Acepa_PSQ_v4 --readFilesCommand zcat --outFilterMismatchNoverLmax 0.15 --outFilterScoreMinOverLread 0.5 --outFilterMatchNminOverLread 0.5 --alignIntronMax 2000000"&amp;" --alignMatesGapMax 2000000 --outSAMmultNmax 10 --outFileNamePrefix /data/"&amp;SUBSTITUTE(A77,".bam","")&amp;" --outSAMtype BAM SortedByCoordinate --outBAMsortingThreadN 35 --readFilesIn /rawdata/"&amp;B77&amp;"/"&amp;SUBSTITUTE(A77,".bam","_R1_tnonrRNA.fastq.gz")&amp;" /rawdata/"&amp;B77&amp;"/"&amp;SUBSTITUTE(A77,".bam","_R2_tnonrRNA.fastq.gz")</f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/data/D05_T_PESQ_1 --outSAMtype BAM SortedByCoordinate --outBAMsortingThreadN 35 --readFilesIn /rawdata/D05_Temprana/D05_T_PESQ_1_R1_tnonrRNA.fastq.gz /rawdata/D05_Temprana/D05_T_PESQ_1_R2_tnonrRNA.fastq.gz</v>
      </c>
      <c r="E77" t="str">
        <f t="shared" si="4"/>
        <v>docker run --rm -v /home/soporte/BIOINFOR/ALIGNMENT:/data dromero93/samtools index -@ 35 -c D05_T_PESQ_1.bam</v>
      </c>
      <c r="F77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/rawdata/D05_T_PESQ_1.bam | bcftools call --threads 35 -mv -Oz -o /data/D05_T_PESQ_1.vcf'</v>
      </c>
    </row>
    <row r="78" spans="1:6" x14ac:dyDescent="0.25">
      <c r="A78" t="s">
        <v>177</v>
      </c>
      <c r="B78" t="s">
        <v>285</v>
      </c>
      <c r="C78">
        <v>3</v>
      </c>
      <c r="D78" t="str">
        <f t="shared" ref="D78:D141" si="6">"docker run --rm -v /home/soporte/atenea/BIOINFOR/INDEX/STAR:/INDEX -v /home/soporte/poseidon/BIOINFOR_SILVER/SEQUENCING/TRANSCRIPTOME:/rawdata "&amp;"-v /home/soporte/BIOINFOR/ALIGNMENT:/data dromero93/star:latest --runMode alignReads --runThreadN 35 --genomeDir "&amp;"/INDEX/Acepa_PSQ_v4 --readFilesCommand zcat --outFilterMismatchNoverLmax 0.15 --outFilterScoreMinOverLread 0.5 --outFilterMatchNminOverLread 0.5 --alignIntronMax 2000000"&amp;" --alignMatesGapMax 2000000 --outSAMmultNmax 10 --outFileNamePrefix /data/"&amp;SUBSTITUTE(A78,".bam","")&amp;" --outSAMtype BAM SortedByCoordinate --outBAMsortingThreadN 35 --readFilesIn /rawdata/"&amp;B78&amp;"/"&amp;SUBSTITUTE(A78,".bam","_R1_tnonrRNA.fastq.gz")&amp;" /rawdata/"&amp;B78&amp;"/"&amp;SUBSTITUTE(A78,".bam","_R2_tnonrRNA.fastq.gz")</f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/data/D05_T_USAL_1 --outSAMtype BAM SortedByCoordinate --outBAMsortingThreadN 35 --readFilesIn /rawdata/D05_Temprana/D05_T_USAL_1_R1_tnonrRNA.fastq.gz /rawdata/D05_Temprana/D05_T_USAL_1_R2_tnonrRNA.fastq.gz</v>
      </c>
      <c r="E78" t="str">
        <f t="shared" si="4"/>
        <v>docker run --rm -v /home/soporte/BIOINFOR/ALIGNMENT:/data dromero93/samtools index -@ 35 -c D05_T_USAL_1.bam</v>
      </c>
      <c r="F7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/rawdata/D05_T_USAL_1.bam | bcftools call --threads 35 -mv -Oz -o /data/D05_T_USAL_1.vcf'</v>
      </c>
    </row>
    <row r="79" spans="1:6" x14ac:dyDescent="0.25">
      <c r="A79" t="s">
        <v>178</v>
      </c>
      <c r="B79" t="s">
        <v>291</v>
      </c>
      <c r="C79">
        <v>3</v>
      </c>
      <c r="D7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/data/EXPRESSION_T_PESQ_1 --outSAMtype BAM SortedByCoordinate --outBAMsortingThreadN 35 --readFilesIn /rawdata/XX_FUSARIUM_RESIST/EXPRESSION_T_PESQ_1_R1_tnonrRNA.fastq.gz /rawdata/XX_FUSARIUM_RESIST/EXPRESSION_T_PESQ_1_R2_tnonrRNA.fastq.gz</v>
      </c>
      <c r="E79" t="str">
        <f t="shared" si="4"/>
        <v>docker run --rm -v /home/soporte/BIOINFOR/ALIGNMENT:/data dromero93/samtools index -@ 35 -c EXPRESSION_T_PESQ_1.bam</v>
      </c>
      <c r="F7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/rawdata/EXPRESSION_T_PESQ_1.bam | bcftools call --threads 35 -mv -Oz -o /data/EXPRESSION_T_PESQ_1.vcf'</v>
      </c>
    </row>
    <row r="80" spans="1:6" x14ac:dyDescent="0.25">
      <c r="A80" t="s">
        <v>179</v>
      </c>
      <c r="B80" t="s">
        <v>292</v>
      </c>
      <c r="C80">
        <v>3</v>
      </c>
      <c r="D8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/data/GUARDMAN_T_PESQ_1 --outSAMtype BAM SortedByCoordinate --outBAMsortingThreadN 35 --readFilesIn /rawdata/XX_GUARDMAN/GUARDMAN_T_PESQ_1_R1_tnonrRNA.fastq.gz /rawdata/XX_GUARDMAN/GUARDMAN_T_PESQ_1_R2_tnonrRNA.fastq.gz</v>
      </c>
      <c r="E80" t="str">
        <f t="shared" si="4"/>
        <v>docker run --rm -v /home/soporte/BIOINFOR/ALIGNMENT:/data dromero93/samtools index -@ 35 -c GUARDMAN_T_PESQ_1.bam</v>
      </c>
      <c r="F8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/rawdata/GUARDMAN_T_PESQ_1.bam | bcftools call --threads 35 -mv -Oz -o /data/GUARDMAN_T_PESQ_1.vcf'</v>
      </c>
    </row>
    <row r="81" spans="1:6" x14ac:dyDescent="0.25">
      <c r="A81" t="s">
        <v>180</v>
      </c>
      <c r="B81" t="s">
        <v>293</v>
      </c>
      <c r="C81">
        <v>3</v>
      </c>
      <c r="D8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/data/HAVEY_T_PESQ_1 --outSAMtype BAM SortedByCoordinate --outBAMsortingThreadN 35 --readFilesIn /rawdata/XX_HAVEY/HAVEY_T_PESQ_1_R1_tnonrRNA.fastq.gz /rawdata/XX_HAVEY/HAVEY_T_PESQ_1_R2_tnonrRNA.fastq.gz</v>
      </c>
      <c r="E81" t="str">
        <f t="shared" si="4"/>
        <v>docker run --rm -v /home/soporte/BIOINFOR/ALIGNMENT:/data dromero93/samtools index -@ 35 -c HAVEY_T_PESQ_1.bam</v>
      </c>
      <c r="F81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/rawdata/HAVEY_T_PESQ_1.bam | bcftools call --threads 35 -mv -Oz -o /data/HAVEY_T_PESQ_1.vcf'</v>
      </c>
    </row>
    <row r="82" spans="1:6" x14ac:dyDescent="0.25">
      <c r="A82" t="s">
        <v>199</v>
      </c>
      <c r="B82" t="s">
        <v>275</v>
      </c>
      <c r="C82">
        <v>3</v>
      </c>
      <c r="D82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/data/I06_T_USAL_1 --outSAMtype BAM SortedByCoordinate --outBAMsortingThreadN 35 --readFilesIn /rawdata/I06_Pesquero/I06_T_USAL_1_R1_tnonrRNA.fastq.gz /rawdata/I06_Pesquero/I06_T_USAL_1_R2_tnonrRNA.fastq.gz</v>
      </c>
      <c r="E82" t="str">
        <f t="shared" si="4"/>
        <v>docker run --rm -v /home/soporte/BIOINFOR/ALIGNMENT:/data dromero93/samtools index -@ 35 -c I06_T_USAL_1.bam</v>
      </c>
      <c r="F82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/rawdata/I06_T_USAL_1.bam | bcftools call --threads 35 -mv -Oz -o /data/I06_T_USAL_1.vcf'</v>
      </c>
    </row>
    <row r="83" spans="1:6" x14ac:dyDescent="0.25">
      <c r="A83" t="s">
        <v>202</v>
      </c>
      <c r="B83" t="s">
        <v>276</v>
      </c>
      <c r="C83">
        <v>3</v>
      </c>
      <c r="D83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/data/M02_BULBO_T_PESQ_1 --outSAMtype BAM SortedByCoordinate --outBAMsortingThreadN 35 --readFilesIn /rawdata/M02_AgroSur/M02_BULBO_T_PESQ_1_R1_tnonrRNA.fastq.gz /rawdata/M02_AgroSur/M02_BULBO_T_PESQ_1_R2_tnonrRNA.fastq.gz</v>
      </c>
      <c r="E83" t="str">
        <f t="shared" si="4"/>
        <v>docker run --rm -v /home/soporte/BIOINFOR/ALIGNMENT:/data dromero93/samtools index -@ 35 -c M02_BULBO_T_PESQ_1.bam</v>
      </c>
      <c r="F83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/rawdata/M02_BULBO_T_PESQ_1.bam | bcftools call --threads 35 -mv -Oz -o /data/M02_BULBO_T_PESQ_1.vcf'</v>
      </c>
    </row>
    <row r="84" spans="1:6" x14ac:dyDescent="0.25">
      <c r="A84" t="s">
        <v>242</v>
      </c>
      <c r="B84" t="s">
        <v>294</v>
      </c>
      <c r="C84">
        <v>3</v>
      </c>
      <c r="D84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/data/R198_T_PESQ_1 --outSAMtype BAM SortedByCoordinate --outBAMsortingThreadN 35 --readFilesIn /rawdata/R198_SierraBlanca/R198_T_PESQ_1_R1_tnonrRNA.fastq.gz /rawdata/R198_SierraBlanca/R198_T_PESQ_1_R2_tnonrRNA.fastq.gz</v>
      </c>
      <c r="E84" t="str">
        <f t="shared" si="4"/>
        <v>docker run --rm -v /home/soporte/BIOINFOR/ALIGNMENT:/data dromero93/samtools index -@ 35 -c R198_T_PESQ_1.bam</v>
      </c>
      <c r="F84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/rawdata/R198_T_PESQ_1.bam | bcftools call --threads 35 -mv -Oz -o /data/R198_T_PESQ_1.vcf'</v>
      </c>
    </row>
    <row r="85" spans="1:6" x14ac:dyDescent="0.25">
      <c r="A85" t="s">
        <v>243</v>
      </c>
      <c r="B85" t="s">
        <v>295</v>
      </c>
      <c r="C85">
        <v>3</v>
      </c>
      <c r="D85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/data/R201_T_PESQ_1 --outSAMtype BAM SortedByCoordinate --outBAMsortingThreadN 35 --readFilesIn /rawdata/R201_Frontier/R201_T_PESQ_1_R1_tnonrRNA.fastq.gz /rawdata/R201_Frontier/R201_T_PESQ_1_R2_tnonrRNA.fastq.gz</v>
      </c>
      <c r="E85" t="str">
        <f t="shared" si="4"/>
        <v>docker run --rm -v /home/soporte/BIOINFOR/ALIGNMENT:/data dromero93/samtools index -@ 35 -c R201_T_PESQ_1.bam</v>
      </c>
      <c r="F85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/rawdata/R201_T_PESQ_1.bam | bcftools call --threads 35 -mv -Oz -o /data/R201_T_PESQ_1.vcf'</v>
      </c>
    </row>
    <row r="86" spans="1:6" x14ac:dyDescent="0.25">
      <c r="A86" t="s">
        <v>244</v>
      </c>
      <c r="B86" t="s">
        <v>296</v>
      </c>
      <c r="C86">
        <v>3</v>
      </c>
      <c r="D86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/data/R204_T_PESQ_1 --outSAMtype BAM SortedByCoordinate --outBAMsortingThreadN 35 --readFilesIn /rawdata/R204_Talon/R204_T_PESQ_1_R1_tnonrRNA.fastq.gz /rawdata/R204_Talon/R204_T_PESQ_1_R2_tnonrRNA.fastq.gz</v>
      </c>
      <c r="E86" t="str">
        <f t="shared" si="4"/>
        <v>docker run --rm -v /home/soporte/BIOINFOR/ALIGNMENT:/data dromero93/samtools index -@ 35 -c R204_T_PESQ_1.bam</v>
      </c>
      <c r="F86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/rawdata/R204_T_PESQ_1.bam | bcftools call --threads 35 -mv -Oz -o /data/R204_T_PESQ_1.vcf'</v>
      </c>
    </row>
    <row r="87" spans="1:6" x14ac:dyDescent="0.25">
      <c r="A87" t="s">
        <v>245</v>
      </c>
      <c r="B87" t="s">
        <v>290</v>
      </c>
      <c r="C87">
        <v>3</v>
      </c>
      <c r="D87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/data/R212_T_PESQ_1 --outSAMtype BAM SortedByCoordinate --outBAMsortingThreadN 35 --readFilesIn /rawdata/R212_Yankee/R212_T_PESQ_1_R1_tnonrRNA.fastq.gz /rawdata/R212_Yankee/R212_T_PESQ_1_R2_tnonrRNA.fastq.gz</v>
      </c>
      <c r="E87" t="str">
        <f t="shared" si="4"/>
        <v>docker run --rm -v /home/soporte/BIOINFOR/ALIGNMENT:/data dromero93/samtools index -@ 35 -c R212_T_PESQ_1.bam</v>
      </c>
      <c r="F87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/rawdata/R212_T_PESQ_1.bam | bcftools call --threads 35 -mv -Oz -o /data/R212_T_PESQ_1.vcf'</v>
      </c>
    </row>
    <row r="88" spans="1:6" x14ac:dyDescent="0.25">
      <c r="A88" t="s">
        <v>246</v>
      </c>
      <c r="B88" t="s">
        <v>282</v>
      </c>
      <c r="C88">
        <v>3</v>
      </c>
      <c r="D88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/data/R217_T_PESQ_1 --outSAMtype BAM SortedByCoordinate --outBAMsortingThreadN 35 --readFilesIn /rawdata/R217_Innovador/R217_T_PESQ_1_R1_tnonrRNA.fastq.gz /rawdata/R217_Innovador/R217_T_PESQ_1_R2_tnonrRNA.fastq.gz</v>
      </c>
      <c r="E88" t="str">
        <f t="shared" si="4"/>
        <v>docker run --rm -v /home/soporte/BIOINFOR/ALIGNMENT:/data dromero93/samtools index -@ 35 -c R217_T_PESQ_1.bam</v>
      </c>
      <c r="F8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/rawdata/R217_T_PESQ_1.bam | bcftools call --threads 35 -mv -Oz -o /data/R217_T_PESQ_1.vcf'</v>
      </c>
    </row>
    <row r="89" spans="1:6" x14ac:dyDescent="0.25">
      <c r="A89" t="s">
        <v>247</v>
      </c>
      <c r="B89" t="s">
        <v>297</v>
      </c>
      <c r="C89">
        <v>3</v>
      </c>
      <c r="D8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/data/R28_T_USAL_1 --outSAMtype BAM SortedByCoordinate --outBAMsortingThreadN 35 --readFilesIn /rawdata/R28_ARoylei/R28_T_USAL_1_R1_tnonrRNA.fastq.gz /rawdata/R28_ARoylei/R28_T_USAL_1_R2_tnonrRNA.fastq.gz</v>
      </c>
      <c r="E89" t="str">
        <f t="shared" si="4"/>
        <v>docker run --rm -v /home/soporte/BIOINFOR/ALIGNMENT:/data dromero93/samtools index -@ 35 -c R28_T_USAL_1.bam</v>
      </c>
      <c r="F8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/rawdata/R28_T_USAL_1.bam | bcftools call --threads 35 -mv -Oz -o /data/R28_T_USAL_1.vcf'</v>
      </c>
    </row>
    <row r="90" spans="1:6" x14ac:dyDescent="0.25">
      <c r="A90" t="s">
        <v>253</v>
      </c>
      <c r="B90" t="s">
        <v>291</v>
      </c>
      <c r="C90">
        <v>3</v>
      </c>
      <c r="D9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/data/REDROCK_T_PESQ_1 --outSAMtype BAM SortedByCoordinate --outBAMsortingThreadN 35 --readFilesIn /rawdata/XX_FUSARIUM_RESIST/REDROCK_T_PESQ_1_R1_tnonrRNA.fastq.gz /rawdata/XX_FUSARIUM_RESIST/REDROCK_T_PESQ_1_R2_tnonrRNA.fastq.gz</v>
      </c>
      <c r="E90" t="str">
        <f t="shared" si="4"/>
        <v>docker run --rm -v /home/soporte/BIOINFOR/ALIGNMENT:/data dromero93/samtools index -@ 35 -c REDROCK_T_PESQ_1.bam</v>
      </c>
      <c r="F9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/rawdata/REDROCK_T_PESQ_1.bam | bcftools call --threads 35 -mv -Oz -o /data/REDROCK_T_PESQ_1.vcf'</v>
      </c>
    </row>
    <row r="91" spans="1:6" x14ac:dyDescent="0.25">
      <c r="A91" t="s">
        <v>265</v>
      </c>
      <c r="B91" t="s">
        <v>291</v>
      </c>
      <c r="C91">
        <v>3</v>
      </c>
      <c r="D9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/data/SCOUT_T_PESQ_1 --outSAMtype BAM SortedByCoordinate --outBAMsortingThreadN 35 --readFilesIn /rawdata/XX_FUSARIUM_RESIST/SCOUT_T_PESQ_1_R1_tnonrRNA.fastq.gz /rawdata/XX_FUSARIUM_RESIST/SCOUT_T_PESQ_1_R2_tnonrRNA.fastq.gz</v>
      </c>
      <c r="E91" t="str">
        <f t="shared" si="4"/>
        <v>docker run --rm -v /home/soporte/BIOINFOR/ALIGNMENT:/data dromero93/samtools index -@ 35 -c SCOUT_T_PESQ_1.bam</v>
      </c>
      <c r="F91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/rawdata/SCOUT_T_PESQ_1.bam | bcftools call --threads 35 -mv -Oz -o /data/SCOUT_T_PESQ_1.vcf'</v>
      </c>
    </row>
    <row r="92" spans="1:6" x14ac:dyDescent="0.25">
      <c r="A92" t="s">
        <v>266</v>
      </c>
      <c r="B92" t="s">
        <v>291</v>
      </c>
      <c r="C92">
        <v>3</v>
      </c>
      <c r="D92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/data/SEDONA_T_PESQ_1 --outSAMtype BAM SortedByCoordinate --outBAMsortingThreadN 35 --readFilesIn /rawdata/XX_FUSARIUM_RESIST/SEDONA_T_PESQ_1_R1_tnonrRNA.fastq.gz /rawdata/XX_FUSARIUM_RESIST/SEDONA_T_PESQ_1_R2_tnonrRNA.fastq.gz</v>
      </c>
      <c r="E92" t="str">
        <f t="shared" si="4"/>
        <v>docker run --rm -v /home/soporte/BIOINFOR/ALIGNMENT:/data dromero93/samtools index -@ 35 -c SEDONA_T_PESQ_1.bam</v>
      </c>
      <c r="F92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/rawdata/SEDONA_T_PESQ_1.bam | bcftools call --threads 35 -mv -Oz -o /data/SEDONA_T_PESQ_1.vcf'</v>
      </c>
    </row>
    <row r="93" spans="1:6" x14ac:dyDescent="0.25">
      <c r="A93" t="s">
        <v>267</v>
      </c>
      <c r="B93" t="s">
        <v>291</v>
      </c>
      <c r="C93">
        <v>3</v>
      </c>
      <c r="D93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/data/VIRGIN_T_PESQ_1 --outSAMtype BAM SortedByCoordinate --outBAMsortingThreadN 35 --readFilesIn /rawdata/XX_FUSARIUM_RESIST/VIRGIN_T_PESQ_1_R1_tnonrRNA.fastq.gz /rawdata/XX_FUSARIUM_RESIST/VIRGIN_T_PESQ_1_R2_tnonrRNA.fastq.gz</v>
      </c>
      <c r="E93" t="str">
        <f t="shared" si="4"/>
        <v>docker run --rm -v /home/soporte/BIOINFOR/ALIGNMENT:/data dromero93/samtools index -@ 35 -c VIRGIN_T_PESQ_1.bam</v>
      </c>
      <c r="F93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/rawdata/VIRGIN_T_PESQ_1.bam | bcftools call --threads 35 -mv -Oz -o /data/VIRGIN_T_PESQ_1.vcf'</v>
      </c>
    </row>
    <row r="94" spans="1:6" x14ac:dyDescent="0.25">
      <c r="A94" t="s">
        <v>268</v>
      </c>
      <c r="B94" t="s">
        <v>291</v>
      </c>
      <c r="C94">
        <v>3</v>
      </c>
      <c r="D94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/data/WHITECASTLE_T_PESQ_1 --outSAMtype BAM SortedByCoordinate --outBAMsortingThreadN 35 --readFilesIn /rawdata/XX_FUSARIUM_RESIST/WHITECASTLE_T_PESQ_1_R1_tnonrRNA.fastq.gz /rawdata/XX_FUSARIUM_RESIST/WHITECASTLE_T_PESQ_1_R2_tnonrRNA.fastq.gz</v>
      </c>
      <c r="E94" t="str">
        <f t="shared" si="4"/>
        <v>docker run --rm -v /home/soporte/BIOINFOR/ALIGNMENT:/data dromero93/samtools index -@ 35 -c WHITECASTLE_T_PESQ_1.bam</v>
      </c>
      <c r="F94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/rawdata/WHITECASTLE_T_PESQ_1.bam | bcftools call --threads 35 -mv -Oz -o /data/WHITECASTLE_T_PESQ_1.vcf'</v>
      </c>
    </row>
    <row r="95" spans="1:6" x14ac:dyDescent="0.25">
      <c r="A95" t="s">
        <v>142</v>
      </c>
      <c r="B95" t="s">
        <v>298</v>
      </c>
      <c r="C95">
        <v>4</v>
      </c>
      <c r="D95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/data/B08_DURB_T_USAL_1 --outSAMtype BAM SortedByCoordinate --outBAMsortingThreadN 35 --readFilesIn /rawdata/B08_Talarrubias/B08_DURB_T_USAL_1_R1_tnonrRNA.fastq.gz /rawdata/B08_Talarrubias/B08_DURB_T_USAL_1_R2_tnonrRNA.fastq.gz</v>
      </c>
      <c r="E95" t="str">
        <f t="shared" si="4"/>
        <v>docker run --rm -v /home/soporte/BIOINFOR/ALIGNMENT:/data dromero93/samtools index -@ 35 -c B08_DURB_T_USAL_1.bam</v>
      </c>
      <c r="F95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/rawdata/B08_DURB_T_USAL_1.bam | bcftools call --threads 35 -mv -Oz -o /data/B08_DURB_T_USAL_1.vcf'</v>
      </c>
    </row>
    <row r="96" spans="1:6" x14ac:dyDescent="0.25">
      <c r="A96" t="s">
        <v>143</v>
      </c>
      <c r="B96" t="s">
        <v>298</v>
      </c>
      <c r="C96">
        <v>4</v>
      </c>
      <c r="D96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/data/B08_FINB_T_USAL_1 --outSAMtype BAM SortedByCoordinate --outBAMsortingThreadN 35 --readFilesIn /rawdata/B08_Talarrubias/B08_FINB_T_USAL_1_R1_tnonrRNA.fastq.gz /rawdata/B08_Talarrubias/B08_FINB_T_USAL_1_R2_tnonrRNA.fastq.gz</v>
      </c>
      <c r="E96" t="str">
        <f t="shared" si="4"/>
        <v>docker run --rm -v /home/soporte/BIOINFOR/ALIGNMENT:/data dromero93/samtools index -@ 35 -c B08_FINB_T_USAL_1.bam</v>
      </c>
      <c r="F96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/rawdata/B08_FINB_T_USAL_1.bam | bcftools call --threads 35 -mv -Oz -o /data/B08_FINB_T_USAL_1.vcf'</v>
      </c>
    </row>
    <row r="97" spans="1:6" x14ac:dyDescent="0.25">
      <c r="A97" t="s">
        <v>144</v>
      </c>
      <c r="B97" t="s">
        <v>298</v>
      </c>
      <c r="C97">
        <v>4</v>
      </c>
      <c r="D97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/data/B08_INIB_T_USAL_1 --outSAMtype BAM SortedByCoordinate --outBAMsortingThreadN 35 --readFilesIn /rawdata/B08_Talarrubias/B08_INIB_T_USAL_1_R1_tnonrRNA.fastq.gz /rawdata/B08_Talarrubias/B08_INIB_T_USAL_1_R2_tnonrRNA.fastq.gz</v>
      </c>
      <c r="E97" t="str">
        <f t="shared" si="4"/>
        <v>docker run --rm -v /home/soporte/BIOINFOR/ALIGNMENT:/data dromero93/samtools index -@ 35 -c B08_INIB_T_USAL_1.bam</v>
      </c>
      <c r="F97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/rawdata/B08_INIB_T_USAL_1.bam | bcftools call --threads 35 -mv -Oz -o /data/B08_INIB_T_USAL_1.vcf'</v>
      </c>
    </row>
    <row r="98" spans="1:6" x14ac:dyDescent="0.25">
      <c r="A98" t="s">
        <v>158</v>
      </c>
      <c r="B98" t="s">
        <v>299</v>
      </c>
      <c r="C98">
        <v>4</v>
      </c>
      <c r="D98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/data/B87_AMARILLO_T_PESQ_1 --outSAMtype BAM SortedByCoordinate --outBAMsortingThreadN 35 --readFilesIn /rawdata/B87_LaHaba_Temprana/B87_AMARILLO_T_PESQ_1_R1_tnonrRNA.fastq.gz /rawdata/B87_LaHaba_Temprana/B87_AMARILLO_T_PESQ_1_R2_tnonrRNA.fastq.gz</v>
      </c>
      <c r="E98" t="str">
        <f t="shared" si="4"/>
        <v>docker run --rm -v /home/soporte/BIOINFOR/ALIGNMENT:/data dromero93/samtools index -@ 35 -c B87_AMARILLO_T_PESQ_1.bam</v>
      </c>
      <c r="F9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/rawdata/B87_AMARILLO_T_PESQ_1.bam | bcftools call --threads 35 -mv -Oz -o /data/B87_AMARILLO_T_PESQ_1.vcf'</v>
      </c>
    </row>
    <row r="99" spans="1:6" x14ac:dyDescent="0.25">
      <c r="A99" t="s">
        <v>159</v>
      </c>
      <c r="B99" t="s">
        <v>299</v>
      </c>
      <c r="C99">
        <v>4</v>
      </c>
      <c r="D9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/data/B87_BLANCO_T_PESQ_1 --outSAMtype BAM SortedByCoordinate --outBAMsortingThreadN 35 --readFilesIn /rawdata/B87_LaHaba_Temprana/B87_BLANCO_T_PESQ_1_R1_tnonrRNA.fastq.gz /rawdata/B87_LaHaba_Temprana/B87_BLANCO_T_PESQ_1_R2_tnonrRNA.fastq.gz</v>
      </c>
      <c r="E99" t="str">
        <f t="shared" si="4"/>
        <v>docker run --rm -v /home/soporte/BIOINFOR/ALIGNMENT:/data dromero93/samtools index -@ 35 -c B87_BLANCO_T_PESQ_1.bam</v>
      </c>
      <c r="F9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/rawdata/B87_BLANCO_T_PESQ_1.bam | bcftools call --threads 35 -mv -Oz -o /data/B87_BLANCO_T_PESQ_1.vcf'</v>
      </c>
    </row>
    <row r="100" spans="1:6" x14ac:dyDescent="0.25">
      <c r="A100" t="s">
        <v>160</v>
      </c>
      <c r="B100" t="s">
        <v>299</v>
      </c>
      <c r="C100">
        <v>4</v>
      </c>
      <c r="D10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/data/B87_ROSA_T_PESQ_1 --outSAMtype BAM SortedByCoordinate --outBAMsortingThreadN 35 --readFilesIn /rawdata/B87_LaHaba_Temprana/B87_ROSA_T_PESQ_1_R1_tnonrRNA.fastq.gz /rawdata/B87_LaHaba_Temprana/B87_ROSA_T_PESQ_1_R2_tnonrRNA.fastq.gz</v>
      </c>
      <c r="E100" t="str">
        <f t="shared" si="4"/>
        <v>docker run --rm -v /home/soporte/BIOINFOR/ALIGNMENT:/data dromero93/samtools index -@ 35 -c B87_ROSA_T_PESQ_1.bam</v>
      </c>
      <c r="F10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/rawdata/B87_ROSA_T_PESQ_1.bam | bcftools call --threads 35 -mv -Oz -o /data/B87_ROSA_T_PESQ_1.vcf'</v>
      </c>
    </row>
    <row r="101" spans="1:6" x14ac:dyDescent="0.25">
      <c r="A101" t="s">
        <v>248</v>
      </c>
      <c r="B101" t="s">
        <v>300</v>
      </c>
      <c r="C101">
        <v>4</v>
      </c>
      <c r="D10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/data/R74_DURB_T_USAL_1 --outSAMtype BAM SortedByCoordinate --outBAMsortingThreadN 35 --readFilesIn /rawdata/R74_FuentesDelEbro/R74_DURB_T_USAL_1_R1_tnonrRNA.fastq.gz /rawdata/R74_FuentesDelEbro/R74_DURB_T_USAL_1_R2_tnonrRNA.fastq.gz</v>
      </c>
      <c r="E101" t="str">
        <f t="shared" si="4"/>
        <v>docker run --rm -v /home/soporte/BIOINFOR/ALIGNMENT:/data dromero93/samtools index -@ 35 -c R74_DURB_T_USAL_1.bam</v>
      </c>
      <c r="F101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/rawdata/R74_DURB_T_USAL_1.bam | bcftools call --threads 35 -mv -Oz -o /data/R74_DURB_T_USAL_1.vcf'</v>
      </c>
    </row>
    <row r="102" spans="1:6" x14ac:dyDescent="0.25">
      <c r="A102" t="s">
        <v>249</v>
      </c>
      <c r="B102" t="s">
        <v>300</v>
      </c>
      <c r="C102">
        <v>4</v>
      </c>
      <c r="D102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/data/R74_FINB_T_USAL_1 --outSAMtype BAM SortedByCoordinate --outBAMsortingThreadN 35 --readFilesIn /rawdata/R74_FuentesDelEbro/R74_FINB_T_USAL_1_R1_tnonrRNA.fastq.gz /rawdata/R74_FuentesDelEbro/R74_FINB_T_USAL_1_R2_tnonrRNA.fastq.gz</v>
      </c>
      <c r="E102" t="str">
        <f t="shared" si="4"/>
        <v>docker run --rm -v /home/soporte/BIOINFOR/ALIGNMENT:/data dromero93/samtools index -@ 35 -c R74_FINB_T_USAL_1.bam</v>
      </c>
      <c r="F102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/rawdata/R74_FINB_T_USAL_1.bam | bcftools call --threads 35 -mv -Oz -o /data/R74_FINB_T_USAL_1.vcf'</v>
      </c>
    </row>
    <row r="103" spans="1:6" x14ac:dyDescent="0.25">
      <c r="A103" t="s">
        <v>250</v>
      </c>
      <c r="B103" t="s">
        <v>300</v>
      </c>
      <c r="C103">
        <v>4</v>
      </c>
      <c r="D103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/data/R74_INIB_T_USAL_1 --outSAMtype BAM SortedByCoordinate --outBAMsortingThreadN 35 --readFilesIn /rawdata/R74_FuentesDelEbro/R74_INIB_T_USAL_1_R1_tnonrRNA.fastq.gz /rawdata/R74_FuentesDelEbro/R74_INIB_T_USAL_1_R2_tnonrRNA.fastq.gz</v>
      </c>
      <c r="E103" t="str">
        <f t="shared" si="4"/>
        <v>docker run --rm -v /home/soporte/BIOINFOR/ALIGNMENT:/data dromero93/samtools index -@ 35 -c R74_INIB_T_USAL_1.bam</v>
      </c>
      <c r="F103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/rawdata/R74_INIB_T_USAL_1.bam | bcftools call --threads 35 -mv -Oz -o /data/R74_INIB_T_USAL_1.vcf'</v>
      </c>
    </row>
    <row r="104" spans="1:6" x14ac:dyDescent="0.25">
      <c r="A104" t="s">
        <v>258</v>
      </c>
      <c r="B104" t="s">
        <v>301</v>
      </c>
      <c r="C104">
        <v>4</v>
      </c>
      <c r="D104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/data/RR3313_ROJO_T_PESQ_1 --outSAMtype BAM SortedByCoordinate --outBAMsortingThreadN 35 --readFilesIn /rawdata/RR33XX_Bulbo_Color/RR3313_ROJO_T_PESQ_1_R1_tnonrRNA.fastq.gz /rawdata/RR33XX_Bulbo_Color/RR3313_ROJO_T_PESQ_1_R2_tnonrRNA.fastq.gz</v>
      </c>
      <c r="E104" t="str">
        <f t="shared" si="4"/>
        <v>docker run --rm -v /home/soporte/BIOINFOR/ALIGNMENT:/data dromero93/samtools index -@ 35 -c RR3313_ROJO_T_PESQ_1.bam</v>
      </c>
      <c r="F104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/rawdata/RR3313_ROJO_T_PESQ_1.bam | bcftools call --threads 35 -mv -Oz -o /data/RR3313_ROJO_T_PESQ_1.vcf'</v>
      </c>
    </row>
    <row r="105" spans="1:6" x14ac:dyDescent="0.25">
      <c r="A105" t="s">
        <v>259</v>
      </c>
      <c r="B105" t="s">
        <v>301</v>
      </c>
      <c r="C105">
        <v>4</v>
      </c>
      <c r="D105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/data/RR3320_BLANCO_T_PESQ_1 --outSAMtype BAM SortedByCoordinate --outBAMsortingThreadN 35 --readFilesIn /rawdata/RR33XX_Bulbo_Color/RR3320_BLANCO_T_PESQ_1_R1_tnonrRNA.fastq.gz /rawdata/RR33XX_Bulbo_Color/RR3320_BLANCO_T_PESQ_1_R2_tnonrRNA.fastq.gz</v>
      </c>
      <c r="E105" t="str">
        <f t="shared" si="4"/>
        <v>docker run --rm -v /home/soporte/BIOINFOR/ALIGNMENT:/data dromero93/samtools index -@ 35 -c RR3320_BLANCO_T_PESQ_1.bam</v>
      </c>
      <c r="F105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/rawdata/RR3320_BLANCO_T_PESQ_1.bam | bcftools call --threads 35 -mv -Oz -o /data/RR3320_BLANCO_T_PESQ_1.vcf'</v>
      </c>
    </row>
    <row r="106" spans="1:6" x14ac:dyDescent="0.25">
      <c r="A106" t="s">
        <v>260</v>
      </c>
      <c r="B106" t="s">
        <v>301</v>
      </c>
      <c r="C106">
        <v>4</v>
      </c>
      <c r="D106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/data/RR3330_AMARILLO_T_PESQ_1 --outSAMtype BAM SortedByCoordinate --outBAMsortingThreadN 35 --readFilesIn /rawdata/RR33XX_Bulbo_Color/RR3330_AMARILLO_T_PESQ_1_R1_tnonrRNA.fastq.gz /rawdata/RR33XX_Bulbo_Color/RR3330_AMARILLO_T_PESQ_1_R2_tnonrRNA.fastq.gz</v>
      </c>
      <c r="E106" t="str">
        <f t="shared" si="4"/>
        <v>docker run --rm -v /home/soporte/BIOINFOR/ALIGNMENT:/data dromero93/samtools index -@ 35 -c RR3330_AMARILLO_T_PESQ_1.bam</v>
      </c>
      <c r="F106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/rawdata/RR3330_AMARILLO_T_PESQ_1.bam | bcftools call --threads 35 -mv -Oz -o /data/RR3330_AMARILLO_T_PESQ_1.vcf'</v>
      </c>
    </row>
    <row r="107" spans="1:6" x14ac:dyDescent="0.25">
      <c r="A107" t="s">
        <v>129</v>
      </c>
      <c r="B107" t="s">
        <v>302</v>
      </c>
      <c r="C107">
        <v>5</v>
      </c>
      <c r="D107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/data/A09_T_USAL_1 --outSAMtype BAM SortedByCoordinate --outBAMsortingThreadN 35 --readFilesIn /rawdata/A09_LaHaba/A09_T_USAL_1_R1_tnonrRNA.fastq.gz /rawdata/A09_LaHaba/A09_T_USAL_1_R2_tnonrRNA.fastq.gz</v>
      </c>
      <c r="E107" t="str">
        <f t="shared" si="4"/>
        <v>docker run --rm -v /home/soporte/BIOINFOR/ALIGNMENT:/data dromero93/samtools index -@ 35 -c A09_T_USAL_1.bam</v>
      </c>
      <c r="F107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/rawdata/A09_T_USAL_1.bam | bcftools call --threads 35 -mv -Oz -o /data/A09_T_USAL_1.vcf'</v>
      </c>
    </row>
    <row r="108" spans="1:6" x14ac:dyDescent="0.25">
      <c r="A108" t="s">
        <v>132</v>
      </c>
      <c r="B108" t="s">
        <v>274</v>
      </c>
      <c r="C108">
        <v>5</v>
      </c>
      <c r="D108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/data/A10_T_USAL_1 --outSAMtype BAM SortedByCoordinate --outBAMsortingThreadN 35 --readFilesIn /rawdata/A10_Villanueva/A10_T_USAL_1_R1_tnonrRNA.fastq.gz /rawdata/A10_Villanueva/A10_T_USAL_1_R2_tnonrRNA.fastq.gz</v>
      </c>
      <c r="E108" t="str">
        <f t="shared" si="4"/>
        <v>docker run --rm -v /home/soporte/BIOINFOR/ALIGNMENT:/data dromero93/samtools index -@ 35 -c A10_T_USAL_1.bam</v>
      </c>
      <c r="F10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/rawdata/A10_T_USAL_1.bam | bcftools call --threads 35 -mv -Oz -o /data/A10_T_USAL_1.vcf'</v>
      </c>
    </row>
    <row r="109" spans="1:6" x14ac:dyDescent="0.25">
      <c r="A109" t="s">
        <v>139</v>
      </c>
      <c r="B109" t="s">
        <v>278</v>
      </c>
      <c r="C109">
        <v>5</v>
      </c>
      <c r="D10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/data/B03_T_PESQ_1 --outSAMtype BAM SortedByCoordinate --outBAMsortingThreadN 35 --readFilesIn /rawdata/B03_AgroPrecozT3/B03_T_PESQ_1_R1_tnonrRNA.fastq.gz /rawdata/B03_AgroPrecozT3/B03_T_PESQ_1_R2_tnonrRNA.fastq.gz</v>
      </c>
      <c r="E109" t="str">
        <f t="shared" si="4"/>
        <v>docker run --rm -v /home/soporte/BIOINFOR/ALIGNMENT:/data dromero93/samtools index -@ 35 -c B03_T_PESQ_1.bam</v>
      </c>
      <c r="F10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/rawdata/B03_T_PESQ_1.bam | bcftools call --threads 35 -mv -Oz -o /data/B03_T_PESQ_1.vcf'</v>
      </c>
    </row>
    <row r="110" spans="1:6" x14ac:dyDescent="0.25">
      <c r="A110" t="s">
        <v>304</v>
      </c>
      <c r="B110" t="s">
        <v>305</v>
      </c>
      <c r="C110">
        <v>5</v>
      </c>
      <c r="D11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/data/B07_T_PESQ_1 --outSAMtype BAM SortedByCoordinate --outBAMsortingThreadN 35 --readFilesIn /rawdata/B07_Esparragosa/B07_T_PESQ_1_R1_tnonrRNA.fastq.gz /rawdata/B07_Esparragosa/B07_T_PESQ_1_R2_tnonrRNA.fastq.gz</v>
      </c>
      <c r="E110" t="str">
        <f t="shared" si="4"/>
        <v>docker run --rm -v /home/soporte/BIOINFOR/ALIGNMENT:/data dromero93/samtools index -@ 35 -c B07_T_PESQ_1.bam</v>
      </c>
      <c r="F11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/rawdata/B07_T_PESQ_1.bam | bcftools call --threads 35 -mv -Oz -o /data/B07_T_PESQ_1.vcf'</v>
      </c>
    </row>
    <row r="111" spans="1:6" x14ac:dyDescent="0.25">
      <c r="A111" t="s">
        <v>140</v>
      </c>
      <c r="B111" t="s">
        <v>303</v>
      </c>
      <c r="C111">
        <v>5</v>
      </c>
      <c r="D11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/data/B04_T_USAL_1 --outSAMtype BAM SortedByCoordinate --outBAMsortingThreadN 35 --readFilesIn /rawdata/B04_AgroPrecozT2/B04_T_USAL_1_R1_tnonrRNA.fastq.gz /rawdata/B04_AgroPrecozT2/B04_T_USAL_1_R2_tnonrRNA.fastq.gz</v>
      </c>
      <c r="E111" t="str">
        <f t="shared" si="4"/>
        <v>docker run --rm -v /home/soporte/BIOINFOR/ALIGNMENT:/data dromero93/samtools index -@ 35 -c B04_T_USAL_1.bam</v>
      </c>
      <c r="F111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/rawdata/B04_T_USAL_1.bam | bcftools call --threads 35 -mv -Oz -o /data/B04_T_USAL_1.vcf'</v>
      </c>
    </row>
    <row r="112" spans="1:6" x14ac:dyDescent="0.25">
      <c r="A112" t="s">
        <v>141</v>
      </c>
      <c r="B112" t="s">
        <v>305</v>
      </c>
      <c r="C112">
        <v>5</v>
      </c>
      <c r="D112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/data/B07_T_USAL_1 --outSAMtype BAM SortedByCoordinate --outBAMsortingThreadN 35 --readFilesIn /rawdata/B07_Esparragosa/B07_T_USAL_1_R1_tnonrRNA.fastq.gz /rawdata/B07_Esparragosa/B07_T_USAL_1_R2_tnonrRNA.fastq.gz</v>
      </c>
      <c r="E112" t="str">
        <f t="shared" si="4"/>
        <v>docker run --rm -v /home/soporte/BIOINFOR/ALIGNMENT:/data dromero93/samtools index -@ 35 -c B07_T_USAL_1.bam</v>
      </c>
      <c r="F112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/rawdata/B07_T_USAL_1.bam | bcftools call --threads 35 -mv -Oz -o /data/B07_T_USAL_1.vcf'</v>
      </c>
    </row>
    <row r="113" spans="1:6" x14ac:dyDescent="0.25">
      <c r="A113" t="s">
        <v>145</v>
      </c>
      <c r="B113" t="s">
        <v>298</v>
      </c>
      <c r="C113">
        <v>5</v>
      </c>
      <c r="D113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/data/B08_T_PESQ_1 --outSAMtype BAM SortedByCoordinate --outBAMsortingThreadN 35 --readFilesIn /rawdata/B08_Talarrubias/B08_T_PESQ_1_R1_tnonrRNA.fastq.gz /rawdata/B08_Talarrubias/B08_T_PESQ_1_R2_tnonrRNA.fastq.gz</v>
      </c>
      <c r="E113" t="str">
        <f t="shared" si="4"/>
        <v>docker run --rm -v /home/soporte/BIOINFOR/ALIGNMENT:/data dromero93/samtools index -@ 35 -c B08_T_PESQ_1.bam</v>
      </c>
      <c r="F113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/rawdata/B08_T_PESQ_1.bam | bcftools call --threads 35 -mv -Oz -o /data/B08_T_PESQ_1.vcf'</v>
      </c>
    </row>
    <row r="114" spans="1:6" x14ac:dyDescent="0.25">
      <c r="A114" t="s">
        <v>146</v>
      </c>
      <c r="B114" t="s">
        <v>298</v>
      </c>
      <c r="C114">
        <v>5</v>
      </c>
      <c r="D114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/data/B08_T_USAL_1 --outSAMtype BAM SortedByCoordinate --outBAMsortingThreadN 35 --readFilesIn /rawdata/B08_Talarrubias/B08_T_USAL_1_R1_tnonrRNA.fastq.gz /rawdata/B08_Talarrubias/B08_T_USAL_1_R2_tnonrRNA.fastq.gz</v>
      </c>
      <c r="E114" t="str">
        <f t="shared" si="4"/>
        <v>docker run --rm -v /home/soporte/BIOINFOR/ALIGNMENT:/data dromero93/samtools index -@ 35 -c B08_T_USAL_1.bam</v>
      </c>
      <c r="F114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/rawdata/B08_T_USAL_1.bam | bcftools call --threads 35 -mv -Oz -o /data/B08_T_USAL_1.vcf'</v>
      </c>
    </row>
    <row r="115" spans="1:6" x14ac:dyDescent="0.25">
      <c r="A115" t="s">
        <v>147</v>
      </c>
      <c r="B115" t="s">
        <v>306</v>
      </c>
      <c r="C115">
        <v>5</v>
      </c>
      <c r="D115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/data/B108_T_PESQ_1 --outSAMtype BAM SortedByCoordinate --outBAMsortingThreadN 35 --readFilesIn /rawdata/B108_LaHaba_AgroPrecozT3/B108_T_PESQ_1_R1_tnonrRNA.fastq.gz /rawdata/B108_LaHaba_AgroPrecozT3/B108_T_PESQ_1_R2_tnonrRNA.fastq.gz</v>
      </c>
      <c r="E115" t="str">
        <f t="shared" si="4"/>
        <v>docker run --rm -v /home/soporte/BIOINFOR/ALIGNMENT:/data dromero93/samtools index -@ 35 -c B108_T_PESQ_1.bam</v>
      </c>
      <c r="F115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/rawdata/B108_T_PESQ_1.bam | bcftools call --threads 35 -mv -Oz -o /data/B108_T_PESQ_1.vcf'</v>
      </c>
    </row>
    <row r="116" spans="1:6" x14ac:dyDescent="0.25">
      <c r="A116" t="s">
        <v>148</v>
      </c>
      <c r="B116" t="s">
        <v>281</v>
      </c>
      <c r="C116">
        <v>5</v>
      </c>
      <c r="D116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/data/B114_T_PESQ_1 --outSAMtype BAM SortedByCoordinate --outBAMsortingThreadN 35 --readFilesIn /rawdata/B114_Talarrubias_AgroPrecozT3/B114_T_PESQ_1_R1_tnonrRNA.fastq.gz /rawdata/B114_Talarrubias_AgroPrecozT3/B114_T_PESQ_1_R2_tnonrRNA.fastq.gz</v>
      </c>
      <c r="E116" t="str">
        <f t="shared" si="4"/>
        <v>docker run --rm -v /home/soporte/BIOINFOR/ALIGNMENT:/data dromero93/samtools index -@ 35 -c B114_T_PESQ_1.bam</v>
      </c>
      <c r="F116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/rawdata/B114_T_PESQ_1.bam | bcftools call --threads 35 -mv -Oz -o /data/B114_T_PESQ_1.vcf'</v>
      </c>
    </row>
    <row r="117" spans="1:6" x14ac:dyDescent="0.25">
      <c r="A117" t="s">
        <v>149</v>
      </c>
      <c r="B117" t="s">
        <v>281</v>
      </c>
      <c r="C117">
        <v>5</v>
      </c>
      <c r="D117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/data/B114_T_PESQ_2 --outSAMtype BAM SortedByCoordinate --outBAMsortingThreadN 35 --readFilesIn /rawdata/B114_Talarrubias_AgroPrecozT3/B114_T_PESQ_2_R1_tnonrRNA.fastq.gz /rawdata/B114_Talarrubias_AgroPrecozT3/B114_T_PESQ_2_R2_tnonrRNA.fastq.gz</v>
      </c>
      <c r="E117" t="str">
        <f t="shared" si="4"/>
        <v>docker run --rm -v /home/soporte/BIOINFOR/ALIGNMENT:/data dromero93/samtools index -@ 35 -c B114_T_PESQ_2.bam</v>
      </c>
      <c r="F117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/rawdata/B114_T_PESQ_2.bam | bcftools call --threads 35 -mv -Oz -o /data/B114_T_PESQ_2.vcf'</v>
      </c>
    </row>
    <row r="118" spans="1:6" x14ac:dyDescent="0.25">
      <c r="A118" t="s">
        <v>150</v>
      </c>
      <c r="B118" t="s">
        <v>307</v>
      </c>
      <c r="C118">
        <v>5</v>
      </c>
      <c r="D118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/data/B115_T_PESQ_1 --outSAMtype BAM SortedByCoordinate --outBAMsortingThreadN 35 --readFilesIn /rawdata/B115_Talarrubias_Temprana/B115_T_PESQ_1_R1_tnonrRNA.fastq.gz /rawdata/B115_Talarrubias_Temprana/B115_T_PESQ_1_R2_tnonrRNA.fastq.gz</v>
      </c>
      <c r="E118" t="str">
        <f t="shared" si="4"/>
        <v>docker run --rm -v /home/soporte/BIOINFOR/ALIGNMENT:/data dromero93/samtools index -@ 35 -c B115_T_PESQ_1.bam</v>
      </c>
      <c r="F11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/rawdata/B115_T_PESQ_1.bam | bcftools call --threads 35 -mv -Oz -o /data/B115_T_PESQ_1.vcf'</v>
      </c>
    </row>
    <row r="119" spans="1:6" x14ac:dyDescent="0.25">
      <c r="A119" t="s">
        <v>151</v>
      </c>
      <c r="B119" t="s">
        <v>308</v>
      </c>
      <c r="C119">
        <v>5</v>
      </c>
      <c r="D11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/data/B116_T_PESQ_1 --outSAMtype BAM SortedByCoordinate --outBAMsortingThreadN 35 --readFilesIn /rawdata/B116_Benquerencia_Temprana/B116_T_PESQ_1_R1_tnonrRNA.fastq.gz /rawdata/B116_Benquerencia_Temprana/B116_T_PESQ_1_R2_tnonrRNA.fastq.gz</v>
      </c>
      <c r="E119" t="str">
        <f t="shared" si="4"/>
        <v>docker run --rm -v /home/soporte/BIOINFOR/ALIGNMENT:/data dromero93/samtools index -@ 35 -c B116_T_PESQ_1.bam</v>
      </c>
      <c r="F11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/rawdata/B116_T_PESQ_1.bam | bcftools call --threads 35 -mv -Oz -o /data/B116_T_PESQ_1.vcf'</v>
      </c>
    </row>
    <row r="120" spans="1:6" x14ac:dyDescent="0.25">
      <c r="A120" t="s">
        <v>152</v>
      </c>
      <c r="B120" t="s">
        <v>309</v>
      </c>
      <c r="C120">
        <v>5</v>
      </c>
      <c r="D12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/data/B11_T_PESQ_1 --outSAMtype BAM SortedByCoordinate --outBAMsortingThreadN 35 --readFilesIn /rawdata/B11_LaCoronada/B11_T_PESQ_1_R1_tnonrRNA.fastq.gz /rawdata/B11_LaCoronada/B11_T_PESQ_1_R2_tnonrRNA.fastq.gz</v>
      </c>
      <c r="E120" t="str">
        <f t="shared" si="4"/>
        <v>docker run --rm -v /home/soporte/BIOINFOR/ALIGNMENT:/data dromero93/samtools index -@ 35 -c B11_T_PESQ_1.bam</v>
      </c>
      <c r="F12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/rawdata/B11_T_PESQ_1.bam | bcftools call --threads 35 -mv -Oz -o /data/B11_T_PESQ_1.vcf'</v>
      </c>
    </row>
    <row r="121" spans="1:6" x14ac:dyDescent="0.25">
      <c r="A121" t="s">
        <v>153</v>
      </c>
      <c r="B121" t="s">
        <v>309</v>
      </c>
      <c r="C121">
        <v>5</v>
      </c>
      <c r="D12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/data/B11_T_USAL_1 --outSAMtype BAM SortedByCoordinate --outBAMsortingThreadN 35 --readFilesIn /rawdata/B11_LaCoronada/B11_T_USAL_1_R1_tnonrRNA.fastq.gz /rawdata/B11_LaCoronada/B11_T_USAL_1_R2_tnonrRNA.fastq.gz</v>
      </c>
      <c r="E121" t="str">
        <f t="shared" si="4"/>
        <v>docker run --rm -v /home/soporte/BIOINFOR/ALIGNMENT:/data dromero93/samtools index -@ 35 -c B11_T_USAL_1.bam</v>
      </c>
      <c r="F121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/rawdata/B11_T_USAL_1.bam | bcftools call --threads 35 -mv -Oz -o /data/B11_T_USAL_1.vcf'</v>
      </c>
    </row>
    <row r="122" spans="1:6" x14ac:dyDescent="0.25">
      <c r="A122" t="s">
        <v>154</v>
      </c>
      <c r="B122" t="s">
        <v>310</v>
      </c>
      <c r="C122">
        <v>5</v>
      </c>
      <c r="D122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/data/B12_T_USAL_1 --outSAMtype BAM SortedByCoordinate --outBAMsortingThreadN 35 --readFilesIn /rawdata/B12_Campanario/B12_T_USAL_1_R1_tnonrRNA.fastq.gz /rawdata/B12_Campanario/B12_T_USAL_1_R2_tnonrRNA.fastq.gz</v>
      </c>
      <c r="E122" t="str">
        <f t="shared" si="4"/>
        <v>docker run --rm -v /home/soporte/BIOINFOR/ALIGNMENT:/data dromero93/samtools index -@ 35 -c B12_T_USAL_1.bam</v>
      </c>
      <c r="F122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/rawdata/B12_T_USAL_1.bam | bcftools call --threads 35 -mv -Oz -o /data/B12_T_USAL_1.vcf'</v>
      </c>
    </row>
    <row r="123" spans="1:6" x14ac:dyDescent="0.25">
      <c r="A123" t="s">
        <v>155</v>
      </c>
      <c r="B123" t="s">
        <v>311</v>
      </c>
      <c r="C123">
        <v>5</v>
      </c>
      <c r="D123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/data/B16_T_USAL_1 --outSAMtype BAM SortedByCoordinate --outBAMsortingThreadN 35 --readFilesIn /rawdata/B16_Benquerencia/B16_T_USAL_1_R1_tnonrRNA.fastq.gz /rawdata/B16_Benquerencia/B16_T_USAL_1_R2_tnonrRNA.fastq.gz</v>
      </c>
      <c r="E123" t="str">
        <f t="shared" si="4"/>
        <v>docker run --rm -v /home/soporte/BIOINFOR/ALIGNMENT:/data dromero93/samtools index -@ 35 -c B16_T_USAL_1.bam</v>
      </c>
      <c r="F123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/rawdata/B16_T_USAL_1.bam | bcftools call --threads 35 -mv -Oz -o /data/B16_T_USAL_1.vcf'</v>
      </c>
    </row>
    <row r="124" spans="1:6" x14ac:dyDescent="0.25">
      <c r="A124" t="s">
        <v>156</v>
      </c>
      <c r="B124" t="s">
        <v>312</v>
      </c>
      <c r="C124">
        <v>5</v>
      </c>
      <c r="D124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/data/B63_T_PESQ_1 --outSAMtype BAM SortedByCoordinate --outBAMsortingThreadN 35 --readFilesIn /rawdata/B63_AgroPrecozT3_AgroPrecozT2/B63_T_PESQ_1_R1_tnonrRNA.fastq.gz /rawdata/B63_AgroPrecozT3_AgroPrecozT2/B63_T_PESQ_1_R2_tnonrRNA.fastq.gz</v>
      </c>
      <c r="E124" t="str">
        <f t="shared" si="4"/>
        <v>docker run --rm -v /home/soporte/BIOINFOR/ALIGNMENT:/data dromero93/samtools index -@ 35 -c B63_T_PESQ_1.bam</v>
      </c>
      <c r="F124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/rawdata/B63_T_PESQ_1.bam | bcftools call --threads 35 -mv -Oz -o /data/B63_T_PESQ_1.vcf'</v>
      </c>
    </row>
    <row r="125" spans="1:6" x14ac:dyDescent="0.25">
      <c r="A125" t="s">
        <v>157</v>
      </c>
      <c r="B125" t="s">
        <v>313</v>
      </c>
      <c r="C125">
        <v>5</v>
      </c>
      <c r="D125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/data/B65_T_PESQ_1 --outSAMtype BAM SortedByCoordinate --outBAMsortingThreadN 35 --readFilesIn /rawdata/B65_Benquerencia_AgroPrecozT3/B65_T_PESQ_1_R1_tnonrRNA.fastq.gz /rawdata/B65_Benquerencia_AgroPrecozT3/B65_T_PESQ_1_R2_tnonrRNA.fastq.gz</v>
      </c>
      <c r="E125" t="str">
        <f t="shared" si="4"/>
        <v>docker run --rm -v /home/soporte/BIOINFOR/ALIGNMENT:/data dromero93/samtools index -@ 35 -c B65_T_PESQ_1.bam</v>
      </c>
      <c r="F125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/rawdata/B65_T_PESQ_1.bam | bcftools call --threads 35 -mv -Oz -o /data/B65_T_PESQ_1.vcf'</v>
      </c>
    </row>
    <row r="126" spans="1:6" x14ac:dyDescent="0.25">
      <c r="A126" t="s">
        <v>161</v>
      </c>
      <c r="B126" t="s">
        <v>314</v>
      </c>
      <c r="C126">
        <v>5</v>
      </c>
      <c r="D126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/data/B89_T_PESQ_1 --outSAMtype BAM SortedByCoordinate --outBAMsortingThreadN 35 --readFilesIn /rawdata/B89_LaCoronada_Temprana/B89_T_PESQ_1_R1_tnonrRNA.fastq.gz /rawdata/B89_LaCoronada_Temprana/B89_T_PESQ_1_R2_tnonrRNA.fastq.gz</v>
      </c>
      <c r="E126" t="str">
        <f t="shared" si="4"/>
        <v>docker run --rm -v /home/soporte/BIOINFOR/ALIGNMENT:/data dromero93/samtools index -@ 35 -c B89_T_PESQ_1.bam</v>
      </c>
      <c r="F126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/rawdata/B89_T_PESQ_1.bam | bcftools call --threads 35 -mv -Oz -o /data/B89_T_PESQ_1.vcf'</v>
      </c>
    </row>
    <row r="127" spans="1:6" x14ac:dyDescent="0.25">
      <c r="A127" t="s">
        <v>162</v>
      </c>
      <c r="B127" t="s">
        <v>314</v>
      </c>
      <c r="C127">
        <v>5</v>
      </c>
      <c r="D127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/data/B89_T_PESQ_2 --outSAMtype BAM SortedByCoordinate --outBAMsortingThreadN 35 --readFilesIn /rawdata/B89_LaCoronada_Temprana/B89_T_PESQ_2_R1_tnonrRNA.fastq.gz /rawdata/B89_LaCoronada_Temprana/B89_T_PESQ_2_R2_tnonrRNA.fastq.gz</v>
      </c>
      <c r="E127" t="str">
        <f t="shared" si="4"/>
        <v>docker run --rm -v /home/soporte/BIOINFOR/ALIGNMENT:/data dromero93/samtools index -@ 35 -c B89_T_PESQ_2.bam</v>
      </c>
      <c r="F127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/rawdata/B89_T_PESQ_2.bam | bcftools call --threads 35 -mv -Oz -o /data/B89_T_PESQ_2.vcf'</v>
      </c>
    </row>
    <row r="128" spans="1:6" x14ac:dyDescent="0.25">
      <c r="A128" t="s">
        <v>169</v>
      </c>
      <c r="B128" t="s">
        <v>326</v>
      </c>
      <c r="C128">
        <v>5</v>
      </c>
      <c r="D128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/data/CAYETANA4_T_PESQ_1 --outSAMtype BAM SortedByCoordinate --outBAMsortingThreadN 35 --readFilesIn /rawdata/RR1028_Roylei_Villanueva/CAYETANA4_T_PESQ_1_R1_tnonrRNA.fastq.gz /rawdata/RR1028_Roylei_Villanueva/CAYETANA4_T_PESQ_1_R2_tnonrRNA.fastq.gz</v>
      </c>
      <c r="E128" t="str">
        <f t="shared" si="4"/>
        <v>docker run --rm -v /home/soporte/BIOINFOR/ALIGNMENT:/data dromero93/samtools index -@ 35 -c CAYETANA4_T_PESQ_1.bam</v>
      </c>
      <c r="F128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/rawdata/CAYETANA4_T_PESQ_1.bam | bcftools call --threads 35 -mv -Oz -o /data/CAYETANA4_T_PESQ_1.vcf'</v>
      </c>
    </row>
    <row r="129" spans="1:6" x14ac:dyDescent="0.25">
      <c r="A129" t="s">
        <v>175</v>
      </c>
      <c r="B129" t="s">
        <v>285</v>
      </c>
      <c r="C129">
        <v>5</v>
      </c>
      <c r="D12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/data/D05_INF_T_USAL_1 --outSAMtype BAM SortedByCoordinate --outBAMsortingThreadN 35 --readFilesIn /rawdata/D05_Temprana/D05_INF_T_USAL_1_R1_tnonrRNA.fastq.gz /rawdata/D05_Temprana/D05_INF_T_USAL_1_R2_tnonrRNA.fastq.gz</v>
      </c>
      <c r="E129" t="str">
        <f t="shared" si="4"/>
        <v>docker run --rm -v /home/soporte/BIOINFOR/ALIGNMENT:/data dromero93/samtools index -@ 35 -c D05_INF_T_USAL_1.bam</v>
      </c>
      <c r="F129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/rawdata/D05_INF_T_USAL_1.bam | bcftools call --threads 35 -mv -Oz -o /data/D05_INF_T_USAL_1.vcf'</v>
      </c>
    </row>
    <row r="130" spans="1:6" x14ac:dyDescent="0.25">
      <c r="A130" t="s">
        <v>200</v>
      </c>
      <c r="B130" t="s">
        <v>315</v>
      </c>
      <c r="C130">
        <v>5</v>
      </c>
      <c r="D13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/data/I18_T_USAL_1 --outSAMtype BAM SortedByCoordinate --outBAMsortingThreadN 35 --readFilesIn /rawdata/I18_LaNava/I18_T_USAL_1_R1_tnonrRNA.fastq.gz /rawdata/I18_LaNava/I18_T_USAL_1_R2_tnonrRNA.fastq.gz</v>
      </c>
      <c r="E130" t="str">
        <f t="shared" si="4"/>
        <v>docker run --rm -v /home/soporte/BIOINFOR/ALIGNMENT:/data dromero93/samtools index -@ 35 -c I18_T_USAL_1.bam</v>
      </c>
      <c r="F130" t="str">
        <f t="shared" si="5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/rawdata/I18_T_USAL_1.bam | bcftools call --threads 35 -mv -Oz -o /data/I18_T_USAL_1.vcf'</v>
      </c>
    </row>
    <row r="131" spans="1:6" x14ac:dyDescent="0.25">
      <c r="A131" t="s">
        <v>201</v>
      </c>
      <c r="B131" t="s">
        <v>316</v>
      </c>
      <c r="C131">
        <v>5</v>
      </c>
      <c r="D13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/data/I27_T_USAL_1 --outSAMtype BAM SortedByCoordinate --outBAMsortingThreadN 35 --readFilesIn /rawdata/I27_L31/I27_T_USAL_1_R1_tnonrRNA.fastq.gz /rawdata/I27_L31/I27_T_USAL_1_R2_tnonrRNA.fastq.gz</v>
      </c>
      <c r="E131" t="str">
        <f t="shared" ref="E131:E148" si="7">"docker run --rm -v /home/soporte/BIOINFOR/ALIGNMENT:/data dromero93/samtools index -@ 35 -c "&amp;A131</f>
        <v>docker run --rm -v /home/soporte/BIOINFOR/ALIGNMENT:/data dromero93/samtools index -@ 35 -c I27_T_USAL_1.bam</v>
      </c>
      <c r="F131" t="str">
        <f t="shared" ref="F131:F148" si="8">"docker run --rm --entrypoint /bin/bash -v /home/soporte/atenea/BIOINFOR/DATABASE:/INDEX -v /home/soporte/BIOINFOR/ALIGNMENT:/rawdata"&amp;" -v /home/soporte/BIOINFOR/VARIANT_CALLING:/data dromero93/bcftools:latest -c 'bcftools mpileup --redo-BAQ -Q 15 -Ou -a FORMAT/AD,FORMAT/DP,INFO/AD --threads 35 -f /INDEX/Acepa/Acepa_PSQ/Genome_Temprana_v4.fasta /rawdata/"&amp;A131&amp;" | bcftools call --threads 35 -mv -Oz -o /data/"&amp;SUBSTITUTE(A131,".bam",".vcf")&amp;"'"</f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/rawdata/I27_T_USAL_1.bam | bcftools call --threads 35 -mv -Oz -o /data/I27_T_USAL_1.vcf'</v>
      </c>
    </row>
    <row r="132" spans="1:6" x14ac:dyDescent="0.25">
      <c r="A132" t="s">
        <v>220</v>
      </c>
      <c r="B132" t="s">
        <v>276</v>
      </c>
      <c r="C132">
        <v>5</v>
      </c>
      <c r="D132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/data/M02_T_USAL_1 --outSAMtype BAM SortedByCoordinate --outBAMsortingThreadN 35 --readFilesIn /rawdata/M02_AgroSur/M02_T_USAL_1_R1_tnonrRNA.fastq.gz /rawdata/M02_AgroSur/M02_T_USAL_1_R2_tnonrRNA.fastq.gz</v>
      </c>
      <c r="E132" t="str">
        <f t="shared" si="7"/>
        <v>docker run --rm -v /home/soporte/BIOINFOR/ALIGNMENT:/data dromero93/samtools index -@ 35 -c M02_T_USAL_1.bam</v>
      </c>
      <c r="F132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/rawdata/M02_T_USAL_1.bam | bcftools call --threads 35 -mv -Oz -o /data/M02_T_USAL_1.vcf'</v>
      </c>
    </row>
    <row r="133" spans="1:6" x14ac:dyDescent="0.25">
      <c r="A133" t="s">
        <v>221</v>
      </c>
      <c r="B133" t="s">
        <v>277</v>
      </c>
      <c r="C133">
        <v>5</v>
      </c>
      <c r="D133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/data/M100_BRA_T_USAL_1 --outSAMtype BAM SortedByCoordinate --outBAMsortingThreadN 35 --readFilesIn /rawdata/M100_Santero_AgroSur/M100_BRA_T_USAL_1_R1_tnonrRNA.fastq.gz /rawdata/M100_Santero_AgroSur/M100_BRA_T_USAL_1_R2_tnonrRNA.fastq.gz</v>
      </c>
      <c r="E133" t="str">
        <f t="shared" si="7"/>
        <v>docker run --rm -v /home/soporte/BIOINFOR/ALIGNMENT:/data dromero93/samtools index -@ 35 -c M100_BRA_T_USAL_1.bam</v>
      </c>
      <c r="F133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/rawdata/M100_BRA_T_USAL_1.bam | bcftools call --threads 35 -mv -Oz -o /data/M100_BRA_T_USAL_1.vcf'</v>
      </c>
    </row>
    <row r="134" spans="1:6" x14ac:dyDescent="0.25">
      <c r="A134" t="s">
        <v>222</v>
      </c>
      <c r="B134" t="s">
        <v>277</v>
      </c>
      <c r="C134">
        <v>5</v>
      </c>
      <c r="D134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/data/M100_BRF_T_USAL_1 --outSAMtype BAM SortedByCoordinate --outBAMsortingThreadN 35 --readFilesIn /rawdata/M100_Santero_AgroSur/M100_BRF_T_USAL_1_R1_tnonrRNA.fastq.gz /rawdata/M100_Santero_AgroSur/M100_BRF_T_USAL_1_R2_tnonrRNA.fastq.gz</v>
      </c>
      <c r="E134" t="str">
        <f t="shared" si="7"/>
        <v>docker run --rm -v /home/soporte/BIOINFOR/ALIGNMENT:/data dromero93/samtools index -@ 35 -c M100_BRF_T_USAL_1.bam</v>
      </c>
      <c r="F134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/rawdata/M100_BRF_T_USAL_1.bam | bcftools call --threads 35 -mv -Oz -o /data/M100_BRF_T_USAL_1.vcf'</v>
      </c>
    </row>
    <row r="135" spans="1:6" x14ac:dyDescent="0.25">
      <c r="A135" t="s">
        <v>223</v>
      </c>
      <c r="B135" t="s">
        <v>277</v>
      </c>
      <c r="C135">
        <v>5</v>
      </c>
      <c r="D135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/data/M100_BS_T_USAL_1 --outSAMtype BAM SortedByCoordinate --outBAMsortingThreadN 35 --readFilesIn /rawdata/M100_Santero_AgroSur/M100_BS_T_USAL_1_R1_tnonrRNA.fastq.gz /rawdata/M100_Santero_AgroSur/M100_BS_T_USAL_1_R2_tnonrRNA.fastq.gz</v>
      </c>
      <c r="E135" t="str">
        <f t="shared" si="7"/>
        <v>docker run --rm -v /home/soporte/BIOINFOR/ALIGNMENT:/data dromero93/samtools index -@ 35 -c M100_BS_T_USAL_1.bam</v>
      </c>
      <c r="F135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/rawdata/M100_BS_T_USAL_1.bam | bcftools call --threads 35 -mv -Oz -o /data/M100_BS_T_USAL_1.vcf'</v>
      </c>
    </row>
    <row r="136" spans="1:6" x14ac:dyDescent="0.25">
      <c r="A136" t="s">
        <v>228</v>
      </c>
      <c r="B136" t="s">
        <v>277</v>
      </c>
      <c r="C136">
        <v>5</v>
      </c>
      <c r="D136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/data/M100_T_USAL_1 --outSAMtype BAM SortedByCoordinate --outBAMsortingThreadN 35 --readFilesIn /rawdata/M100_Santero_AgroSur/M100_T_USAL_1_R1_tnonrRNA.fastq.gz /rawdata/M100_Santero_AgroSur/M100_T_USAL_1_R2_tnonrRNA.fastq.gz</v>
      </c>
      <c r="E136" t="str">
        <f t="shared" si="7"/>
        <v>docker run --rm -v /home/soporte/BIOINFOR/ALIGNMENT:/data dromero93/samtools index -@ 35 -c M100_T_USAL_1.bam</v>
      </c>
      <c r="F136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/rawdata/M100_T_USAL_1.bam | bcftools call --threads 35 -mv -Oz -o /data/M100_T_USAL_1.vcf'</v>
      </c>
    </row>
    <row r="137" spans="1:6" x14ac:dyDescent="0.25">
      <c r="A137" t="s">
        <v>229</v>
      </c>
      <c r="B137" t="s">
        <v>317</v>
      </c>
      <c r="C137">
        <v>5</v>
      </c>
      <c r="D137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/data/M101_T_PESQ_1 --outSAMtype BAM SortedByCoordinate --outBAMsortingThreadN 35 --readFilesIn /rawdata/M101_Castuera_AgroSur/M101_T_PESQ_1_R1_tnonrRNA.fastq.gz /rawdata/M101_Castuera_AgroSur/M101_T_PESQ_1_R2_tnonrRNA.fastq.gz</v>
      </c>
      <c r="E137" t="str">
        <f t="shared" si="7"/>
        <v>docker run --rm -v /home/soporte/BIOINFOR/ALIGNMENT:/data dromero93/samtools index -@ 35 -c M101_T_PESQ_1.bam</v>
      </c>
      <c r="F137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/rawdata/M101_T_PESQ_1.bam | bcftools call --threads 35 -mv -Oz -o /data/M101_T_PESQ_1.vcf'</v>
      </c>
    </row>
    <row r="138" spans="1:6" x14ac:dyDescent="0.25">
      <c r="A138" t="s">
        <v>230</v>
      </c>
      <c r="B138" t="s">
        <v>318</v>
      </c>
      <c r="C138">
        <v>5</v>
      </c>
      <c r="D138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/data/M21_T_USAL_1 --outSAMtype BAM SortedByCoordinate --outBAMsortingThreadN 35 --readFilesIn /rawdata/M21_Castuera/M21_T_USAL_1_R1_tnonrRNA.fastq.gz /rawdata/M21_Castuera/M21_T_USAL_1_R2_tnonrRNA.fastq.gz</v>
      </c>
      <c r="E138" t="str">
        <f t="shared" si="7"/>
        <v>docker run --rm -v /home/soporte/BIOINFOR/ALIGNMENT:/data dromero93/samtools index -@ 35 -c M21_T_USAL_1.bam</v>
      </c>
      <c r="F138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/rawdata/M21_T_USAL_1.bam | bcftools call --threads 35 -mv -Oz -o /data/M21_T_USAL_1.vcf'</v>
      </c>
    </row>
    <row r="139" spans="1:6" x14ac:dyDescent="0.25">
      <c r="A139" t="s">
        <v>231</v>
      </c>
      <c r="B139" t="s">
        <v>319</v>
      </c>
      <c r="C139">
        <v>5</v>
      </c>
      <c r="D139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/data/M29_T_USAL_1 --outSAMtype BAM SortedByCoordinate --outBAMsortingThreadN 35 --readFilesIn /rawdata/M29_Santero/M29_T_USAL_1_R1_tnonrRNA.fastq.gz /rawdata/M29_Santero/M29_T_USAL_1_R2_tnonrRNA.fastq.gz</v>
      </c>
      <c r="E139" t="str">
        <f t="shared" si="7"/>
        <v>docker run --rm -v /home/soporte/BIOINFOR/ALIGNMENT:/data dromero93/samtools index -@ 35 -c M29_T_USAL_1.bam</v>
      </c>
      <c r="F139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/rawdata/M29_T_USAL_1.bam | bcftools call --threads 35 -mv -Oz -o /data/M29_T_USAL_1.vcf'</v>
      </c>
    </row>
    <row r="140" spans="1:6" x14ac:dyDescent="0.25">
      <c r="A140" t="s">
        <v>232</v>
      </c>
      <c r="B140" t="s">
        <v>320</v>
      </c>
      <c r="C140">
        <v>5</v>
      </c>
      <c r="D140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/data/M31_T_USAL_1 --outSAMtype BAM SortedByCoordinate --outBAMsortingThreadN 35 --readFilesIn /rawdata/M31_Monterrubio/M31_T_USAL_1_R1_tnonrRNA.fastq.gz /rawdata/M31_Monterrubio/M31_T_USAL_1_R2_tnonrRNA.fastq.gz</v>
      </c>
      <c r="E140" t="str">
        <f t="shared" si="7"/>
        <v>docker run --rm -v /home/soporte/BIOINFOR/ALIGNMENT:/data dromero93/samtools index -@ 35 -c M31_T_USAL_1.bam</v>
      </c>
      <c r="F140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/rawdata/M31_T_USAL_1.bam | bcftools call --threads 35 -mv -Oz -o /data/M31_T_USAL_1.vcf'</v>
      </c>
    </row>
    <row r="141" spans="1:6" x14ac:dyDescent="0.25">
      <c r="A141" t="s">
        <v>237</v>
      </c>
      <c r="B141" t="s">
        <v>321</v>
      </c>
      <c r="C141">
        <v>5</v>
      </c>
      <c r="D141" t="str">
        <f t="shared" si="6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/data/N01_T_PESQ_1 --outSAMtype BAM SortedByCoordinate --outBAMsortingThreadN 35 --readFilesIn /rawdata/N01_AgroNorte/N01_T_PESQ_1_R1_tnonrRNA.fastq.gz /rawdata/N01_AgroNorte/N01_T_PESQ_1_R2_tnonrRNA.fastq.gz</v>
      </c>
      <c r="E141" t="str">
        <f t="shared" si="7"/>
        <v>docker run --rm -v /home/soporte/BIOINFOR/ALIGNMENT:/data dromero93/samtools index -@ 35 -c N01_T_PESQ_1.bam</v>
      </c>
      <c r="F141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/rawdata/N01_T_PESQ_1.bam | bcftools call --threads 35 -mv -Oz -o /data/N01_T_PESQ_1.vcf'</v>
      </c>
    </row>
    <row r="142" spans="1:6" x14ac:dyDescent="0.25">
      <c r="A142" t="s">
        <v>238</v>
      </c>
      <c r="B142" t="s">
        <v>321</v>
      </c>
      <c r="C142">
        <v>5</v>
      </c>
      <c r="D142" t="str">
        <f t="shared" ref="D142:D148" si="9">"docker run --rm -v /home/soporte/atenea/BIOINFOR/INDEX/STAR:/INDEX -v /home/soporte/poseidon/BIOINFOR_SILVER/SEQUENCING/TRANSCRIPTOME:/rawdata "&amp;"-v /home/soporte/BIOINFOR/ALIGNMENT:/data dromero93/star:latest --runMode alignReads --runThreadN 35 --genomeDir "&amp;"/INDEX/Acepa_PSQ_v4 --readFilesCommand zcat --outFilterMismatchNoverLmax 0.15 --outFilterScoreMinOverLread 0.5 --outFilterMatchNminOverLread 0.5 --alignIntronMax 2000000"&amp;" --alignMatesGapMax 2000000 --outSAMmultNmax 10 --outFileNamePrefix /data/"&amp;SUBSTITUTE(A142,".bam","")&amp;" --outSAMtype BAM SortedByCoordinate --outBAMsortingThreadN 35 --readFilesIn /rawdata/"&amp;B142&amp;"/"&amp;SUBSTITUTE(A142,".bam","_R1_tnonrRNA.fastq.gz")&amp;" /rawdata/"&amp;B142&amp;"/"&amp;SUBSTITUTE(A142,".bam","_R2_tnonrRNA.fastq.gz")</f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/data/N01_T_USAL_1 --outSAMtype BAM SortedByCoordinate --outBAMsortingThreadN 35 --readFilesIn /rawdata/N01_AgroNorte/N01_T_USAL_1_R1_tnonrRNA.fastq.gz /rawdata/N01_AgroNorte/N01_T_USAL_1_R2_tnonrRNA.fastq.gz</v>
      </c>
      <c r="E142" t="str">
        <f t="shared" si="7"/>
        <v>docker run --rm -v /home/soporte/BIOINFOR/ALIGNMENT:/data dromero93/samtools index -@ 35 -c N01_T_USAL_1.bam</v>
      </c>
      <c r="F142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/rawdata/N01_T_USAL_1.bam | bcftools call --threads 35 -mv -Oz -o /data/N01_T_USAL_1.vcf'</v>
      </c>
    </row>
    <row r="143" spans="1:6" x14ac:dyDescent="0.25">
      <c r="A143" t="s">
        <v>239</v>
      </c>
      <c r="B143" t="s">
        <v>322</v>
      </c>
      <c r="C143">
        <v>5</v>
      </c>
      <c r="D143" t="str">
        <f t="shared" si="9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/data/OR22098_BULBO_T_PESQ_1 --outSAMtype BAM SortedByCoordinate --outBAMsortingThreadN 35 --readFilesIn /rawdata/OR22098/OR22098_BULBO_T_PESQ_1_R1_tnonrRNA.fastq.gz /rawdata/OR22098/OR22098_BULBO_T_PESQ_1_R2_tnonrRNA.fastq.gz</v>
      </c>
      <c r="E143" t="str">
        <f t="shared" si="7"/>
        <v>docker run --rm -v /home/soporte/BIOINFOR/ALIGNMENT:/data dromero93/samtools index -@ 35 -c OR22098_BULBO_T_PESQ_1.bam</v>
      </c>
      <c r="F143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/rawdata/OR22098_BULBO_T_PESQ_1.bam | bcftools call --threads 35 -mv -Oz -o /data/OR22098_BULBO_T_PESQ_1.vcf'</v>
      </c>
    </row>
    <row r="144" spans="1:6" x14ac:dyDescent="0.25">
      <c r="A144" t="s">
        <v>240</v>
      </c>
      <c r="B144" t="s">
        <v>323</v>
      </c>
      <c r="C144">
        <v>5</v>
      </c>
      <c r="D144" t="str">
        <f t="shared" si="9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/data/R142_T_PESQ_1 --outSAMtype BAM SortedByCoordinate --outBAMsortingThreadN 35 --readFilesIn /rawdata/R142_Benquerencia_LaNava/R142_T_PESQ_1_R1_tnonrRNA.fastq.gz /rawdata/R142_Benquerencia_LaNava/R142_T_PESQ_1_R2_tnonrRNA.fastq.gz</v>
      </c>
      <c r="E144" t="str">
        <f t="shared" si="7"/>
        <v>docker run --rm -v /home/soporte/BIOINFOR/ALIGNMENT:/data dromero93/samtools index -@ 35 -c R142_T_PESQ_1.bam</v>
      </c>
      <c r="F144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/rawdata/R142_T_PESQ_1.bam | bcftools call --threads 35 -mv -Oz -o /data/R142_T_PESQ_1.vcf'</v>
      </c>
    </row>
    <row r="145" spans="1:6" x14ac:dyDescent="0.25">
      <c r="A145" t="s">
        <v>241</v>
      </c>
      <c r="B145" t="s">
        <v>323</v>
      </c>
      <c r="C145">
        <v>5</v>
      </c>
      <c r="D145" t="str">
        <f t="shared" si="9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/data/R142_T_PESQ_2 --outSAMtype BAM SortedByCoordinate --outBAMsortingThreadN 35 --readFilesIn /rawdata/R142_Benquerencia_LaNava/R142_T_PESQ_2_R1_tnonrRNA.fastq.gz /rawdata/R142_Benquerencia_LaNava/R142_T_PESQ_2_R2_tnonrRNA.fastq.gz</v>
      </c>
      <c r="E145" t="str">
        <f t="shared" si="7"/>
        <v>docker run --rm -v /home/soporte/BIOINFOR/ALIGNMENT:/data dromero93/samtools index -@ 35 -c R142_T_PESQ_2.bam</v>
      </c>
      <c r="F145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/rawdata/R142_T_PESQ_2.bam | bcftools call --threads 35 -mv -Oz -o /data/R142_T_PESQ_2.vcf'</v>
      </c>
    </row>
    <row r="146" spans="1:6" x14ac:dyDescent="0.25">
      <c r="A146" t="s">
        <v>251</v>
      </c>
      <c r="B146" t="s">
        <v>324</v>
      </c>
      <c r="C146">
        <v>5</v>
      </c>
      <c r="D146" t="str">
        <f t="shared" si="9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/data/R96_T_PESQ_1 --outSAMtype BAM SortedByCoordinate --outBAMsortingThreadN 35 --readFilesIn /rawdata/R96_Talarrubias_AgroSur/R96_T_PESQ_1_R1_tnonrRNA.fastq.gz /rawdata/R96_Talarrubias_AgroSur/R96_T_PESQ_1_R2_tnonrRNA.fastq.gz</v>
      </c>
      <c r="E146" t="str">
        <f t="shared" si="7"/>
        <v>docker run --rm -v /home/soporte/BIOINFOR/ALIGNMENT:/data dromero93/samtools index -@ 35 -c R96_T_PESQ_1.bam</v>
      </c>
      <c r="F146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/rawdata/R96_T_PESQ_1.bam | bcftools call --threads 35 -mv -Oz -o /data/R96_T_PESQ_1.vcf'</v>
      </c>
    </row>
    <row r="147" spans="1:6" x14ac:dyDescent="0.25">
      <c r="A147" t="s">
        <v>252</v>
      </c>
      <c r="B147" t="s">
        <v>325</v>
      </c>
      <c r="C147">
        <v>5</v>
      </c>
      <c r="D147" t="str">
        <f t="shared" si="9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/data/R97_T_USAL_1 --outSAMtype BAM SortedByCoordinate --outBAMsortingThreadN 35 --readFilesIn /rawdata/R97_Benquerencia_AgroSur/R97_T_USAL_1_R1_tnonrRNA.fastq.gz /rawdata/R97_Benquerencia_AgroSur/R97_T_USAL_1_R2_tnonrRNA.fastq.gz</v>
      </c>
      <c r="E147" t="str">
        <f t="shared" si="7"/>
        <v>docker run --rm -v /home/soporte/BIOINFOR/ALIGNMENT:/data dromero93/samtools index -@ 35 -c R97_T_USAL_1.bam</v>
      </c>
      <c r="F147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/rawdata/R97_T_USAL_1.bam | bcftools call --threads 35 -mv -Oz -o /data/R97_T_USAL_1.vcf'</v>
      </c>
    </row>
    <row r="148" spans="1:6" x14ac:dyDescent="0.25">
      <c r="A148" t="s">
        <v>257</v>
      </c>
      <c r="B148" t="s">
        <v>326</v>
      </c>
      <c r="C148">
        <v>5</v>
      </c>
      <c r="D148" t="str">
        <f t="shared" si="9"/>
        <v>docker run --rm -v /home/soporte/atenea/BIOINFOR/INDEX/STAR:/INDEX -v /home/soporte/poseidon/BIOINFOR_SILVER/SEQUENCING/TRANSCRIPTOME:/rawdata -v /home/soporte/BIOINFOR/ALIGNMENT:/data dromero93/star:latest --runMode alignReads --runThreadN 35 --genomeDir /INDEX/Acepa_PSQ_v4 --readFilesCommand zcat --outFilterMismatchNoverLmax 0.15 --outFilterScoreMinOverLread 0.5 --outFilterMatchNminOverLread 0.5 --alignIntronMax 2000000 --alignMatesGapMax 2000000 --outSAMmultNmax 10 --outFileNamePrefix /data/RR1028_T_PESQ_1 --outSAMtype BAM SortedByCoordinate --outBAMsortingThreadN 35 --readFilesIn /rawdata/RR1028_Roylei_Villanueva/RR1028_T_PESQ_1_R1_tnonrRNA.fastq.gz /rawdata/RR1028_Roylei_Villanueva/RR1028_T_PESQ_1_R2_tnonrRNA.fastq.gz</v>
      </c>
      <c r="E148" t="str">
        <f t="shared" si="7"/>
        <v>docker run --rm -v /home/soporte/BIOINFOR/ALIGNMENT:/data dromero93/samtools index -@ 35 -c RR1028_T_PESQ_1.bam</v>
      </c>
      <c r="F148" t="str">
        <f t="shared" si="8"/>
        <v>docker run --rm --entrypoint /bin/bash -v /home/soporte/atenea/BIOINFOR/DATABASE:/INDEX -v /home/soporte/BIOINFOR/ALIGNMENT:/rawdata -v /home/soporte/BIOINFOR/VARIANT_CALLING:/data dromero93/bcftools:latest -c 'bcftools mpileup --redo-BAQ -Q 15 -Ou -a FORMAT/AD,FORMAT/DP,INFO/AD --threads 35 -f /INDEX/Acepa/Acepa_PSQ/Genome_Temprana_v4.fasta /rawdata/RR1028_T_PESQ_1.bam | bcftools call --threads 35 -mv -Oz -o /data/RR1028_T_PESQ_1.vcf'</v>
      </c>
    </row>
  </sheetData>
  <autoFilter ref="A1:F148" xr:uid="{0769257C-5711-42A0-B3E5-6ABD539CD103}">
    <sortState xmlns:xlrd2="http://schemas.microsoft.com/office/spreadsheetml/2017/richdata2" ref="A2:F148">
      <sortCondition ref="C1:C148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Romero Guzman</cp:lastModifiedBy>
  <dcterms:created xsi:type="dcterms:W3CDTF">2025-05-07T07:32:11Z</dcterms:created>
  <dcterms:modified xsi:type="dcterms:W3CDTF">2025-06-23T10:48:51Z</dcterms:modified>
</cp:coreProperties>
</file>